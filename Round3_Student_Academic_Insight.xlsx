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thi\Downloads\"/>
    </mc:Choice>
  </mc:AlternateContent>
  <xr:revisionPtr revIDLastSave="0" documentId="8_{22D0E0EC-A71A-454C-9869-4F024FA22EAC}" xr6:coauthVersionLast="47" xr6:coauthVersionMax="47" xr10:uidLastSave="{00000000-0000-0000-0000-000000000000}"/>
  <bookViews>
    <workbookView xWindow="-108" yWindow="-108" windowWidth="23256" windowHeight="12456" tabRatio="931" xr2:uid="{00000000-000D-0000-FFFF-FFFF00000000}"/>
  </bookViews>
  <sheets>
    <sheet name="Summary_Dashboard" sheetId="15" r:id="rId1"/>
    <sheet name="Course_Pivot" sheetId="9" r:id="rId2"/>
    <sheet name="Attendance_Pivot" sheetId="11" r:id="rId3"/>
    <sheet name="Support_Priority_Pivot" sheetId="13" r:id="rId4"/>
    <sheet name="Submission_Pivot" sheetId="16" r:id="rId5"/>
    <sheet name="Assessment_Pivot" sheetId="12" r:id="rId6"/>
    <sheet name="Performance_Trend" sheetId="17" r:id="rId7"/>
    <sheet name="Cleaned_Data" sheetId="1" r:id="rId8"/>
    <sheet name="Course_Analysis" sheetId="2" r:id="rId9"/>
    <sheet name="Attendance_Analysis" sheetId="3" r:id="rId10"/>
    <sheet name="Assessment_Analysis" sheetId="4" r:id="rId11"/>
    <sheet name="Engagement_Analysis" sheetId="5" r:id="rId12"/>
    <sheet name="Support_Priority" sheetId="6" r:id="rId13"/>
  </sheets>
  <definedNames>
    <definedName name="_xlnm._FilterDatabase" localSheetId="10" hidden="1">Assessment_Analysis!$A$1:$H$5</definedName>
    <definedName name="_xlnm._FilterDatabase" localSheetId="9" hidden="1">Attendance_Analysis!$A$1:$H$579</definedName>
    <definedName name="_xlnm._FilterDatabase" localSheetId="7" hidden="1">Cleaned_Data!$A$1:$Z$579</definedName>
    <definedName name="_xlnm._FilterDatabase" localSheetId="8" hidden="1">Course_Analysis!$A$1:$G$9</definedName>
    <definedName name="_xlnm._FilterDatabase" localSheetId="11" hidden="1">Engagement_Analysis!$A$1:$D$9</definedName>
    <definedName name="_xlnm._FilterDatabase" localSheetId="12" hidden="1">Support_Priority!$A$1:$E$3</definedName>
  </definedNames>
  <calcPr calcId="191029"/>
  <pivotCaches>
    <pivotCache cacheId="9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5" l="1"/>
  <c r="B19" i="15"/>
  <c r="B18" i="15"/>
  <c r="B17" i="15" a="1"/>
  <c r="B1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<sst xmlns="http://schemas.openxmlformats.org/spreadsheetml/2006/main" count="6509" uniqueCount="238">
  <si>
    <t>student_id</t>
  </si>
  <si>
    <t>course_code</t>
  </si>
  <si>
    <t>sessions_held</t>
  </si>
  <si>
    <t>sessions_attended</t>
  </si>
  <si>
    <t>attendance_percentage</t>
  </si>
  <si>
    <t>attendance_valid</t>
  </si>
  <si>
    <t>quiz</t>
  </si>
  <si>
    <t>assignment</t>
  </si>
  <si>
    <t>test</t>
  </si>
  <si>
    <t>lab</t>
  </si>
  <si>
    <t>average_assessment_score</t>
  </si>
  <si>
    <t>programme</t>
  </si>
  <si>
    <t>semester</t>
  </si>
  <si>
    <t>demographic_group</t>
  </si>
  <si>
    <t>lms_logins</t>
  </si>
  <si>
    <t>submissions</t>
  </si>
  <si>
    <t>activity</t>
  </si>
  <si>
    <t>course_type</t>
  </si>
  <si>
    <t>credits</t>
  </si>
  <si>
    <t>faculty</t>
  </si>
  <si>
    <t>performance_group</t>
  </si>
  <si>
    <t>low_attendance_flag</t>
  </si>
  <si>
    <t>low_engagement_flag</t>
  </si>
  <si>
    <t>missing_assessment_count</t>
  </si>
  <si>
    <t>total_submissions</t>
  </si>
  <si>
    <t>support_priority</t>
  </si>
  <si>
    <t>STU001</t>
  </si>
  <si>
    <t>CS301</t>
  </si>
  <si>
    <t>B.Tech IT</t>
  </si>
  <si>
    <t>Group C</t>
  </si>
  <si>
    <t>Core</t>
  </si>
  <si>
    <t>Faculty A</t>
  </si>
  <si>
    <t>Developing</t>
  </si>
  <si>
    <t>High Priority</t>
  </si>
  <si>
    <t>CS306</t>
  </si>
  <si>
    <t>Practical</t>
  </si>
  <si>
    <t>Good</t>
  </si>
  <si>
    <t>Regular Monitoring</t>
  </si>
  <si>
    <t>EC304</t>
  </si>
  <si>
    <t>Faculty D</t>
  </si>
  <si>
    <t>EE308</t>
  </si>
  <si>
    <t>Faculty G</t>
  </si>
  <si>
    <t>IT307</t>
  </si>
  <si>
    <t>Elective</t>
  </si>
  <si>
    <t>Faculty F</t>
  </si>
  <si>
    <t>MA305</t>
  </si>
  <si>
    <t>Foundation</t>
  </si>
  <si>
    <t>Faculty E</t>
  </si>
  <si>
    <t>STU002</t>
  </si>
  <si>
    <t>B.E. ECE</t>
  </si>
  <si>
    <t>Group B</t>
  </si>
  <si>
    <t>CS302</t>
  </si>
  <si>
    <t>Faculty B</t>
  </si>
  <si>
    <t>STU003</t>
  </si>
  <si>
    <t>B.E. EEE</t>
  </si>
  <si>
    <t>Group A</t>
  </si>
  <si>
    <t>High Performance</t>
  </si>
  <si>
    <t>IT303</t>
  </si>
  <si>
    <t>Faculty C</t>
  </si>
  <si>
    <t>STU004</t>
  </si>
  <si>
    <t>STU005</t>
  </si>
  <si>
    <t>B.E. CSE</t>
  </si>
  <si>
    <t>STU006</t>
  </si>
  <si>
    <t>STU007</t>
  </si>
  <si>
    <t>STU008</t>
  </si>
  <si>
    <t>STU009</t>
  </si>
  <si>
    <t>STU010</t>
  </si>
  <si>
    <t>STU011</t>
  </si>
  <si>
    <t>Needs Support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</si>
  <si>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</si>
  <si>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</si>
  <si>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</si>
  <si>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</si>
  <si>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</si>
  <si>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</si>
  <si>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</si>
  <si>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</si>
  <si>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</si>
  <si>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</si>
  <si>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</si>
  <si>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</si>
  <si>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</si>
  <si>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</si>
  <si>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</si>
  <si>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</si>
  <si>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</si>
  <si>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</si>
  <si>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</si>
  <si>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</si>
  <si>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</si>
  <si>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</si>
  <si>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</si>
  <si>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</si>
  <si>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</si>
  <si>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</si>
  <si>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</si>
  <si>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</si>
  <si>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</si>
  <si>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</si>
  <si>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</si>
  <si>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</si>
  <si>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</si>
  <si>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</si>
  <si>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</si>
  <si>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</si>
  <si>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</si>
  <si>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</si>
  <si>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</si>
  <si>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</si>
  <si>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</si>
  <si>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</si>
  <si>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</si>
  <si>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</si>
  <si>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</si>
  <si>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</si>
  <si>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</si>
  <si>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</si>
  <si>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</si>
  <si>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</si>
  <si>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</si>
  <si>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</si>
  <si>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</si>
  <si>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</si>
  <si>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</si>
  <si>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</si>
  <si>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</si>
  <si>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</si>
  <si>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</si>
  <si>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</si>
  <si>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</si>
  <si>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</si>
  <si>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</si>
  <si>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</si>
  <si>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</si>
  <si>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</si>
  <si>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</si>
  <si>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</si>
  <si>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</si>
  <si>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</si>
  <si>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</si>
  <si>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</si>
  <si>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</si>
  <si>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</si>
  <si>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</si>
  <si>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</si>
  <si>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</si>
  <si>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</si>
  <si>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</si>
  <si>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</si>
  <si>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</si>
  <si>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</si>
  <si>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</si>
  <si>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</si>
  <si>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</si>
  <si>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</si>
  <si>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</si>
  <si>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</si>
  <si>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</si>
  <si>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</si>
  <si>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</si>
  <si>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</si>
  <si>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</si>
  <si>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</si>
  <si>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</si>
  <si>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</si>
  <si>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</si>
  <si>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</si>
  <si>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</si>
  <si>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</si>
  <si>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</si>
  <si>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</si>
  <si>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</si>
  <si>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</si>
  <si>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</si>
  <si>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</si>
  <si>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</si>
  <si>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</si>
  <si>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</si>
  <si>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Student_Course_Records</t>
  </si>
  <si>
    <t>Average_Assessment_Score</t>
  </si>
  <si>
    <t>Average_Attendance_Percentage</t>
  </si>
  <si>
    <t>Average_LMS_Logins</t>
  </si>
  <si>
    <t>Average_Submissions</t>
  </si>
  <si>
    <t>Average_Activity</t>
  </si>
  <si>
    <t>Attendance_Status</t>
  </si>
  <si>
    <t>Low Attendance</t>
  </si>
  <si>
    <t>At/Above 75%</t>
  </si>
  <si>
    <t>Assessment_Component</t>
  </si>
  <si>
    <t>Available_Scores</t>
  </si>
  <si>
    <t>Missing_Scores</t>
  </si>
  <si>
    <t>Average_Score</t>
  </si>
  <si>
    <t>Median_Score</t>
  </si>
  <si>
    <t>Standard_Deviation</t>
  </si>
  <si>
    <t>Minimum</t>
  </si>
  <si>
    <t>Maximum</t>
  </si>
  <si>
    <t>Records</t>
  </si>
  <si>
    <t>Unique_Students</t>
  </si>
  <si>
    <t>Average_Attendance</t>
  </si>
  <si>
    <t>Metric</t>
  </si>
  <si>
    <t>Value</t>
  </si>
  <si>
    <t>z</t>
  </si>
  <si>
    <t>Row Labels</t>
  </si>
  <si>
    <t>Grand Total</t>
  </si>
  <si>
    <t>Average of average_assessment_score</t>
  </si>
  <si>
    <t>Average of attendance_percentage</t>
  </si>
  <si>
    <t>Average of quiz</t>
  </si>
  <si>
    <t>Average of lab</t>
  </si>
  <si>
    <t>Average of assignment</t>
  </si>
  <si>
    <t>Average of test</t>
  </si>
  <si>
    <t>Count of student_id</t>
  </si>
  <si>
    <t>Total Student-Course Records</t>
  </si>
  <si>
    <t>Average Attendance (%)</t>
  </si>
  <si>
    <t>Unique Students</t>
  </si>
  <si>
    <t>Number of Courses</t>
  </si>
  <si>
    <t>Average Assessment Score</t>
  </si>
  <si>
    <t>Average of submissions</t>
  </si>
  <si>
    <t>Recommendation</t>
  </si>
  <si>
    <t>Analysis Area</t>
  </si>
  <si>
    <t>Observation</t>
  </si>
  <si>
    <t>Course Performance</t>
  </si>
  <si>
    <t>CS301 has the highest average score (68.75), while CS302 has the lowest (64.64).</t>
  </si>
  <si>
    <t>Review course materials and provide additional practice where needed.</t>
  </si>
  <si>
    <t>Attendance</t>
  </si>
  <si>
    <t>Average attendance is 61.34% in the practice dataset.</t>
  </si>
  <si>
    <t>Investigate attendance barriers and provide appropriate reminders.</t>
  </si>
  <si>
    <t>Assessment</t>
  </si>
  <si>
    <t>Average test score is 62.13 in the practice dataset.</t>
  </si>
  <si>
    <t>Provide test practice questions and revision support.</t>
  </si>
  <si>
    <t>Submission Behaviour</t>
  </si>
  <si>
    <t>Average submissions vary by course, approximately 8.25 to 9.25.</t>
  </si>
  <si>
    <t>Identify courses with lower submission activity and encourage timely submissions.</t>
  </si>
  <si>
    <t>Support Priority</t>
  </si>
  <si>
    <t>181 high-priority records and 397 regular-monitoring records.</t>
  </si>
  <si>
    <t>Review high-priority records and provide targeted academic support.</t>
  </si>
  <si>
    <t>Performance Trend</t>
  </si>
  <si>
    <t>Historical trends cannot be determined because date or term data is unavailable.</t>
  </si>
  <si>
    <t>Collect term-wise data to monitor performance changes.</t>
  </si>
  <si>
    <t xml:space="preserve">   STUDENT ACADEMIC 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</si>
</sst>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;[Red]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45B4A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/>
    </xf>
    <xf numFmtId="0" fontId="0" fillId="0" borderId="1" xfId="0" applyFont="1" applyBorder="1"/>
    <xf numFmtId="0" fontId="2" fillId="3" borderId="1" xfId="0" applyFont="1" applyFill="1" applyBorder="1"/>
    <xf numFmtId="168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Font="1" applyBorder="1"/>
    <xf numFmtId="0" fontId="0" fillId="0" borderId="0" xfId="0" applyBorder="1"/>
    <xf numFmtId="0" fontId="2" fillId="4" borderId="1" xfId="0" applyFont="1" applyFill="1" applyBorder="1"/>
  </cellXfs>
  <cellStyles count="1">
    <cellStyle name="Normal" xfId="0" builtinId="0"/>
  </cellStyles>
  <dxfs count="6">
    <dxf>
      <numFmt numFmtId="168" formatCode="0.00;[Red]0.00"/>
    </dxf>
    <dxf>
      <numFmt numFmtId="168" formatCode="0.00;[Red]0.00"/>
    </dxf>
    <dxf>
      <numFmt numFmtId="2" formatCode="0.00"/>
    </dxf>
    <dxf>
      <numFmt numFmtId="168" formatCode="0.00;[Red]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[Round3_Student_Academic_Insight.xlsx]Course_Pivot!PivotTable1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Marks by Course</a:t>
            </a:r>
            <a:endParaRPr lang="en-US"/>
          </a:p>
        </c:rich>
      </c:tx>
      <c:layout>
        <c:manualLayout>
          <c:xMode val="edge"/>
          <c:yMode val="edge"/>
          <c:x val="0.29562489063867015"/>
          <c:y val="0.86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080796150481188"/>
          <c:y val="1.7914479440069974E-2"/>
          <c:w val="0.53985870516185475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Course_Pivot!$B$3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Course_Pivot!$A$4:$A$12</c:f>
              <c:strCache>
                <c:ptCount val="8"/>
                <c:pt idx="0">
                  <c:v>CS301</c:v>
                </c:pt>
                <c:pt idx="1">
                  <c:v>CS302</c:v>
                </c:pt>
                <c:pt idx="2">
                  <c:v>CS306</c:v>
                </c:pt>
                <c:pt idx="3">
                  <c:v>EC304</c:v>
                </c:pt>
                <c:pt idx="4">
                  <c:v>EE308</c:v>
                </c:pt>
                <c:pt idx="5">
                  <c:v>IT303</c:v>
                </c:pt>
                <c:pt idx="6">
                  <c:v>IT307</c:v>
                </c:pt>
                <c:pt idx="7">
                  <c:v>MA305</c:v>
                </c:pt>
              </c:strCache>
            </c:strRef>
          </c:cat>
          <c:val>
            <c:numRef>
              <c:f>Course_Pivot!$B$4:$B$12</c:f>
              <c:numCache>
                <c:formatCode>General</c:formatCode>
                <c:ptCount val="8"/>
                <c:pt idx="0">
                  <c:v>68.75080321285138</c:v>
                </c:pt>
                <c:pt idx="1">
                  <c:v>64.644178082191786</c:v>
                </c:pt>
                <c:pt idx="2">
                  <c:v>64.777111111111111</c:v>
                </c:pt>
                <c:pt idx="3">
                  <c:v>67.109661835748781</c:v>
                </c:pt>
                <c:pt idx="4">
                  <c:v>66.578690476190474</c:v>
                </c:pt>
                <c:pt idx="5">
                  <c:v>67.528260869565202</c:v>
                </c:pt>
                <c:pt idx="6">
                  <c:v>65.099086757990861</c:v>
                </c:pt>
                <c:pt idx="7">
                  <c:v>65.013717948717968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1-4184-8FD4-C442D286F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2414911"/>
        <c:axId val="1479102479"/>
      </c:barChart>
      <c:catAx>
        <c:axId val="148241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102479"/>
        <c:crosses val="autoZero"/>
        <c:auto val="1"/>
        <c:lblAlgn val="ctr"/>
        <c:lblOffset val="100"/>
        <c:noMultiLvlLbl val="0"/>
      </c:catAx>
      <c:valAx>
        <c:axId val="147910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1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[Round3_Student_Academic_Insight.xlsx]Attendance_Pivot!PivotTable3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Attendance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Attendance_Pivot!$B$3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Attendance_Pivot!$A$4:$A$12</c:f>
              <c:strCache>
                <c:ptCount val="8"/>
                <c:pt idx="0">
                  <c:v>CS301</c:v>
                </c:pt>
                <c:pt idx="1">
                  <c:v>CS302</c:v>
                </c:pt>
                <c:pt idx="2">
                  <c:v>CS306</c:v>
                </c:pt>
                <c:pt idx="3">
                  <c:v>EC304</c:v>
                </c:pt>
                <c:pt idx="4">
                  <c:v>EE308</c:v>
                </c:pt>
                <c:pt idx="5">
                  <c:v>IT303</c:v>
                </c:pt>
                <c:pt idx="6">
                  <c:v>IT307</c:v>
                </c:pt>
                <c:pt idx="7">
                  <c:v>MA305</c:v>
                </c:pt>
              </c:strCache>
            </c:strRef>
          </c:cat>
          <c:val>
            <c:numRef>
              <c:f>Attendance_Pivot!$B$4:$B$12</c:f>
              <c:numCache>
                <c:formatCode>General</c:formatCode>
                <c:ptCount val="8"/>
                <c:pt idx="0">
                  <c:v>61.345812927882641</c:v>
                </c:pt>
                <c:pt idx="1">
                  <c:v>60.741950426639512</c:v>
                </c:pt>
                <c:pt idx="2">
                  <c:v>62.371057502814153</c:v>
                </c:pt>
                <c:pt idx="3">
                  <c:v>59.257982192148688</c:v>
                </c:pt>
                <c:pt idx="4">
                  <c:v>60.395077320784559</c:v>
                </c:pt>
                <c:pt idx="5">
                  <c:v>62.719315327826592</c:v>
                </c:pt>
                <c:pt idx="6">
                  <c:v>62.078185402657006</c:v>
                </c:pt>
                <c:pt idx="7">
                  <c:v>61.771042930469676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D-4555-B417-75F823EA0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8379615"/>
        <c:axId val="1761502191"/>
      </c:barChart>
      <c:catAx>
        <c:axId val="1758379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502191"/>
        <c:crosses val="autoZero"/>
        <c:auto val="1"/>
        <c:lblAlgn val="ctr"/>
        <c:lblOffset val="100"/>
        <c:noMultiLvlLbl val="0"/>
      </c:catAx>
      <c:valAx>
        <c:axId val="176150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7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[Round3_Student_Academic_Insight.xlsx]Assessment_Pivot!PivotTable4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Assessment Component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247594050743653E-2"/>
          <c:y val="0.13323855351414407"/>
          <c:w val="0.60658048993875768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Assessment_Pivot!$A$3</c:f>
              <c:strCache>
                <c:ptCount val="1"/>
                <c:pt idx="0">
                  <c:v>Average of quiz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Assessment_Pivot!$A$4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Assessment_Pivot!$A$4</c:f>
              <c:numCache>
                <c:formatCode>General</c:formatCode>
                <c:ptCount val="1"/>
                <c:pt idx="0">
                  <c:v>64.239679715302515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8-4990-96C4-A6CDE29F2E21}"/>
            </c:ext>
          </c:extLst>
        </c:ser>
        <c:ser>
          <c:idx val="1"/>
          <c:order val="1"/>
          <c:tx>
            <c:strRef>
              <c:f>Assessment_Pivot!$B$3</c:f>
              <c:strCache>
                <c:ptCount val="1"/>
                <c:pt idx="0">
                  <c:v>Average of lab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Assessment_Pivot!$A$4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Assessment_Pivot!$B$4</c:f>
              <c:numCache>
                <c:formatCode>General</c:formatCode>
                <c:ptCount val="1"/>
                <c:pt idx="0">
                  <c:v>69.981850533807773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8-4990-96C4-A6CDE29F2E21}"/>
            </c:ext>
          </c:extLst>
        </c:ser>
        <c:ser>
          <c:idx val="2"/>
          <c:order val="2"/>
          <c:tx>
            <c:strRef>
              <c:f>Assessment_Pivot!$C$3</c:f>
              <c:strCache>
                <c:ptCount val="1"/>
                <c:pt idx="0">
                  <c:v>Average of assignment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Assessment_Pivot!$A$4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Assessment_Pivot!$C$4</c:f>
              <c:numCache>
                <c:formatCode>General</c:formatCode>
                <c:ptCount val="1"/>
                <c:pt idx="0">
                  <c:v>68.425577264653683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08-4990-96C4-A6CDE29F2E21}"/>
            </c:ext>
          </c:extLst>
        </c:ser>
        <c:ser>
          <c:idx val="3"/>
          <c:order val="3"/>
          <c:tx>
            <c:strRef>
              <c:f>Assessment_Pivot!$D$3</c:f>
              <c:strCache>
                <c:ptCount val="1"/>
                <c:pt idx="0">
                  <c:v>Average of 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Assessment_Pivot!$A$4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Assessment_Pivot!$D$4</c:f>
              <c:numCache>
                <c:formatCode>General</c:formatCode>
                <c:ptCount val="1"/>
                <c:pt idx="0">
                  <c:v>62.134875444839878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08-4990-96C4-A6CDE29F2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0040671"/>
        <c:axId val="1761461871"/>
      </c:barChart>
      <c:catAx>
        <c:axId val="175004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61871"/>
        <c:crosses val="autoZero"/>
        <c:auto val="1"/>
        <c:lblAlgn val="ctr"/>
        <c:lblOffset val="100"/>
        <c:noMultiLvlLbl val="0"/>
      </c:catAx>
      <c:valAx>
        <c:axId val="17614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04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[Round3_Student_Academic_Insight.xlsx]Support_Priority_Pivot!PivotTable5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Records by Support Priority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Support_Priority_Pivot!$B$3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Support_Priority_Pivot!$A$4:$A$6</c:f>
              <c:strCache>
                <c:ptCount val="2"/>
                <c:pt idx="0">
                  <c:v>High Priority</c:v>
                </c:pt>
                <c:pt idx="1">
                  <c:v>Regular Monitoring</c:v>
                </c:pt>
              </c:strCache>
            </c:strRef>
          </c:cat>
          <c:val>
            <c:numRef>
              <c:f>Support_Priority_Pivot!$B$4:$B$6</c:f>
              <c:numCache>
                <c:formatCode>General</c:formatCode>
                <c:ptCount val="2"/>
                <c:pt idx="0">
                  <c:v>181</c:v>
                </c:pt>
                <c:pt idx="1">
                  <c:v>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F-4C81-9474-DAB15C80E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494879"/>
        <c:axId val="1761418671"/>
      </c:barChart>
      <c:catAx>
        <c:axId val="169549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18671"/>
        <c:crosses val="autoZero"/>
        <c:auto val="1"/>
        <c:lblAlgn val="ctr"/>
        <c:lblOffset val="100"/>
        <c:noMultiLvlLbl val="0"/>
      </c:catAx>
      <c:valAx>
        <c:axId val="17614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9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[Round3_Student_Academic_Insight.xlsx]Course_Pivot!PivotTable1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Marks by Course</a:t>
            </a:r>
            <a:endParaRPr lang="en-US"/>
          </a:p>
        </c:rich>
      </c:tx>
      <c:layout>
        <c:manualLayout>
          <c:xMode val="edge"/>
          <c:yMode val="edge"/>
          <c:x val="0.29562489063867015"/>
          <c:y val="0.86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080796150481188"/>
          <c:y val="1.7914479440069974E-2"/>
          <c:w val="0.53985870516185475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Course_Pivot!$B$3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Course_Pivot!$A$4:$A$12</c:f>
              <c:strCache>
                <c:ptCount val="8"/>
                <c:pt idx="0">
                  <c:v>CS301</c:v>
                </c:pt>
                <c:pt idx="1">
                  <c:v>CS302</c:v>
                </c:pt>
                <c:pt idx="2">
                  <c:v>CS306</c:v>
                </c:pt>
                <c:pt idx="3">
                  <c:v>EC304</c:v>
                </c:pt>
                <c:pt idx="4">
                  <c:v>EE308</c:v>
                </c:pt>
                <c:pt idx="5">
                  <c:v>IT303</c:v>
                </c:pt>
                <c:pt idx="6">
                  <c:v>IT307</c:v>
                </c:pt>
                <c:pt idx="7">
                  <c:v>MA305</c:v>
                </c:pt>
              </c:strCache>
            </c:strRef>
          </c:cat>
          <c:val>
            <c:numRef>
              <c:f>Course_Pivot!$B$4:$B$12</c:f>
              <c:numCache>
                <c:formatCode>General</c:formatCode>
                <c:ptCount val="8"/>
                <c:pt idx="0">
                  <c:v>68.75080321285138</c:v>
                </c:pt>
                <c:pt idx="1">
                  <c:v>64.644178082191786</c:v>
                </c:pt>
                <c:pt idx="2">
                  <c:v>64.777111111111111</c:v>
                </c:pt>
                <c:pt idx="3">
                  <c:v>67.109661835748781</c:v>
                </c:pt>
                <c:pt idx="4">
                  <c:v>66.578690476190474</c:v>
                </c:pt>
                <c:pt idx="5">
                  <c:v>67.528260869565202</c:v>
                </c:pt>
                <c:pt idx="6">
                  <c:v>65.099086757990861</c:v>
                </c:pt>
                <c:pt idx="7">
                  <c:v>65.013717948717968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2-4545-B002-FD4583A2F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2414911"/>
        <c:axId val="1479102479"/>
      </c:barChart>
      <c:catAx>
        <c:axId val="148241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102479"/>
        <c:crosses val="autoZero"/>
        <c:auto val="1"/>
        <c:lblAlgn val="ctr"/>
        <c:lblOffset val="100"/>
        <c:noMultiLvlLbl val="0"/>
      </c:catAx>
      <c:valAx>
        <c:axId val="147910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1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[Round3_Student_Academic_Insight.xlsx]Attendance_Pivot!PivotTable3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Attendance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Attendance_Pivot!$B$3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Attendance_Pivot!$A$4:$A$12</c:f>
              <c:strCache>
                <c:ptCount val="8"/>
                <c:pt idx="0">
                  <c:v>CS301</c:v>
                </c:pt>
                <c:pt idx="1">
                  <c:v>CS302</c:v>
                </c:pt>
                <c:pt idx="2">
                  <c:v>CS306</c:v>
                </c:pt>
                <c:pt idx="3">
                  <c:v>EC304</c:v>
                </c:pt>
                <c:pt idx="4">
                  <c:v>EE308</c:v>
                </c:pt>
                <c:pt idx="5">
                  <c:v>IT303</c:v>
                </c:pt>
                <c:pt idx="6">
                  <c:v>IT307</c:v>
                </c:pt>
                <c:pt idx="7">
                  <c:v>MA305</c:v>
                </c:pt>
              </c:strCache>
            </c:strRef>
          </c:cat>
          <c:val>
            <c:numRef>
              <c:f>Attendance_Pivot!$B$4:$B$12</c:f>
              <c:numCache>
                <c:formatCode>General</c:formatCode>
                <c:ptCount val="8"/>
                <c:pt idx="0">
                  <c:v>61.345812927882641</c:v>
                </c:pt>
                <c:pt idx="1">
                  <c:v>60.741950426639512</c:v>
                </c:pt>
                <c:pt idx="2">
                  <c:v>62.371057502814153</c:v>
                </c:pt>
                <c:pt idx="3">
                  <c:v>59.257982192148688</c:v>
                </c:pt>
                <c:pt idx="4">
                  <c:v>60.395077320784559</c:v>
                </c:pt>
                <c:pt idx="5">
                  <c:v>62.719315327826592</c:v>
                </c:pt>
                <c:pt idx="6">
                  <c:v>62.078185402657006</c:v>
                </c:pt>
                <c:pt idx="7">
                  <c:v>61.771042930469676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5-44B3-AD81-C68366621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8379615"/>
        <c:axId val="1761502191"/>
      </c:barChart>
      <c:catAx>
        <c:axId val="1758379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502191"/>
        <c:crosses val="autoZero"/>
        <c:auto val="1"/>
        <c:lblAlgn val="ctr"/>
        <c:lblOffset val="100"/>
        <c:noMultiLvlLbl val="0"/>
      </c:catAx>
      <c:valAx>
        <c:axId val="176150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7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[Round3_Student_Academic_Insight.xlsx]Support_Priority_Pivot!PivotTable5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Records by Support Priority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Support_Priority_Pivot!$B$3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Support_Priority_Pivot!$A$4:$A$6</c:f>
              <c:strCache>
                <c:ptCount val="2"/>
                <c:pt idx="0">
                  <c:v>High Priority</c:v>
                </c:pt>
                <c:pt idx="1">
                  <c:v>Regular Monitoring</c:v>
                </c:pt>
              </c:strCache>
            </c:strRef>
          </c:cat>
          <c:val>
            <c:numRef>
              <c:f>Support_Priority_Pivot!$B$4:$B$6</c:f>
              <c:numCache>
                <c:formatCode>General</c:formatCode>
                <c:ptCount val="2"/>
                <c:pt idx="0">
                  <c:v>181</c:v>
                </c:pt>
                <c:pt idx="1">
                  <c:v>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7-4B39-9F22-89A39D181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494879"/>
        <c:axId val="1761418671"/>
      </c:barChart>
      <c:catAx>
        <c:axId val="169549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18671"/>
        <c:crosses val="autoZero"/>
        <c:auto val="1"/>
        <c:lblAlgn val="ctr"/>
        <c:lblOffset val="100"/>
        <c:noMultiLvlLbl val="0"/>
      </c:catAx>
      <c:valAx>
        <c:axId val="17614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9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[Round3_Student_Academic_Insight.xlsx]Submission_Pivot!PivotTable6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Submission Behaviour by Course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Submission_Pivot!$B$3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Submission_Pivot!$A$4:$A$12</c:f>
              <c:strCache>
                <c:ptCount val="8"/>
                <c:pt idx="0">
                  <c:v>CS301</c:v>
                </c:pt>
                <c:pt idx="1">
                  <c:v>CS302</c:v>
                </c:pt>
                <c:pt idx="2">
                  <c:v>CS306</c:v>
                </c:pt>
                <c:pt idx="3">
                  <c:v>EC304</c:v>
                </c:pt>
                <c:pt idx="4">
                  <c:v>EE308</c:v>
                </c:pt>
                <c:pt idx="5">
                  <c:v>IT303</c:v>
                </c:pt>
                <c:pt idx="6">
                  <c:v>IT307</c:v>
                </c:pt>
                <c:pt idx="7">
                  <c:v>MA305</c:v>
                </c:pt>
              </c:strCache>
            </c:strRef>
          </c:cat>
          <c:val>
            <c:numRef>
              <c:f>Submission_Pivot!$B$4:$B$12</c:f>
              <c:numCache>
                <c:formatCode>0.00;[Red]0.00</c:formatCode>
                <c:ptCount val="8"/>
                <c:pt idx="0">
                  <c:v>9.2530120481927707</c:v>
                </c:pt>
                <c:pt idx="1">
                  <c:v>9</c:v>
                </c:pt>
                <c:pt idx="2">
                  <c:v>8.5526315789473681</c:v>
                </c:pt>
                <c:pt idx="3">
                  <c:v>8.5362318840579707</c:v>
                </c:pt>
                <c:pt idx="4">
                  <c:v>8.9420289855072461</c:v>
                </c:pt>
                <c:pt idx="5">
                  <c:v>8.2463768115942031</c:v>
                </c:pt>
                <c:pt idx="6">
                  <c:v>8.6712328767123292</c:v>
                </c:pt>
                <c:pt idx="7">
                  <c:v>8.953846153846154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D-4E70-BA06-4AB0B4EA7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8390751"/>
        <c:axId val="1761492591"/>
      </c:barChart>
      <c:catAx>
        <c:axId val="175839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92591"/>
        <c:crosses val="autoZero"/>
        <c:auto val="1"/>
        <c:lblAlgn val="ctr"/>
        <c:lblOffset val="100"/>
        <c:noMultiLvlLbl val="0"/>
      </c:catAx>
      <c:valAx>
        <c:axId val="176149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;[Red]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390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[Round3_Student_Academic_Insight.xlsx]Assessment_Pivot!PivotTable4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Assessment Component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247594050743653E-2"/>
          <c:y val="0.13323855351414407"/>
          <c:w val="0.60658048993875768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Assessment_Pivot!$A$3</c:f>
              <c:strCache>
                <c:ptCount val="1"/>
                <c:pt idx="0">
                  <c:v>Average of quiz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Assessment_Pivot!$A$4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Assessment_Pivot!$A$4</c:f>
              <c:numCache>
                <c:formatCode>General</c:formatCode>
                <c:ptCount val="1"/>
                <c:pt idx="0">
                  <c:v>64.239679715302515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5-41FB-9C59-D5C3F4ADCCEC}"/>
            </c:ext>
          </c:extLst>
        </c:ser>
        <c:ser>
          <c:idx val="1"/>
          <c:order val="1"/>
          <c:tx>
            <c:strRef>
              <c:f>Assessment_Pivot!$B$3</c:f>
              <c:strCache>
                <c:ptCount val="1"/>
                <c:pt idx="0">
                  <c:v>Average of lab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Assessment_Pivot!$A$4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Assessment_Pivot!$B$4</c:f>
              <c:numCache>
                <c:formatCode>General</c:formatCode>
                <c:ptCount val="1"/>
                <c:pt idx="0">
                  <c:v>69.981850533807773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F5-41FB-9C59-D5C3F4ADCCEC}"/>
            </c:ext>
          </c:extLst>
        </c:ser>
        <c:ser>
          <c:idx val="2"/>
          <c:order val="2"/>
          <c:tx>
            <c:strRef>
              <c:f>Assessment_Pivot!$C$3</c:f>
              <c:strCache>
                <c:ptCount val="1"/>
                <c:pt idx="0">
                  <c:v>Average of assignment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Assessment_Pivot!$A$4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Assessment_Pivot!$C$4</c:f>
              <c:numCache>
                <c:formatCode>General</c:formatCode>
                <c:ptCount val="1"/>
                <c:pt idx="0">
                  <c:v>68.425577264653683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F5-41FB-9C59-D5C3F4ADCCEC}"/>
            </c:ext>
          </c:extLst>
        </c:ser>
        <c:ser>
          <c:idx val="3"/>
          <c:order val="3"/>
          <c:tx>
            <c:strRef>
              <c:f>Assessment_Pivot!$D$3</c:f>
              <c:strCache>
                <c:ptCount val="1"/>
                <c:pt idx="0">
                  <c:v>Average of 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Assessment_Pivot!$A$4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Assessment_Pivot!$D$4</c:f>
              <c:numCache>
                <c:formatCode>General</c:formatCode>
                <c:ptCount val="1"/>
                <c:pt idx="0">
                  <c:v>62.134875444839878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F5-41FB-9C59-D5C3F4ADC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0040671"/>
        <c:axId val="1761461871"/>
      </c:barChart>
      <c:catAx>
        <c:axId val="175004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61871"/>
        <c:crosses val="autoZero"/>
        <c:auto val="1"/>
        <c:lblAlgn val="ctr"/>
        <c:lblOffset val="100"/>
        <c:noMultiLvlLbl val="0"/>
      </c:catAx>
      <c:valAx>
        <c:axId val="17614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04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t>Average Score by Assessment Component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Assessment_Analysis!$D$1</c:f>
              <c:strCache>
                <c:ptCount val="1"/>
                <c:pt idx="0">
                  <c:v>Average_Score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Assessment_Analysis!$A$2:$A$5</c:f>
              <c:strCache>
                <c:ptCount val="4"/>
                <c:pt idx="0">
                  <c:v>quiz</c:v>
                </c:pt>
                <c:pt idx="1">
                  <c:v>assignment</c:v>
                </c:pt>
                <c:pt idx="2">
                  <c:v>test</c:v>
                </c:pt>
                <c:pt idx="3">
                  <c:v>lab</c:v>
                </c:pt>
              </c:strCache>
            </c:strRef>
          </c:cat>
          <c:val>
            <c:numRef>
              <c:f>Assessment_Analysis!$D$2:$D$5</c:f>
              <c:numCache>
                <c:formatCode>General</c:formatCode>
                <c:ptCount val="4"/>
                <c:pt idx="0">
                  <c:v>64.239999999999995</c:v>
                </c:pt>
                <c:pt idx="1">
                  <c:v>68.430000000000007</c:v>
                </c:pt>
                <c:pt idx="2">
                  <c:v>62.13</c:v>
                </c:pt>
                <c:pt idx="3">
                  <c:v>69.98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6-4C45-84C0-733893916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Component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Records by Support Priority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Support_Priority!$B$1</c:f>
              <c:strCache>
                <c:ptCount val="1"/>
                <c:pt idx="0">
                  <c:v>Records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Support_Priority!$A$2:$A$3</c:f>
              <c:strCache>
                <c:ptCount val="2"/>
                <c:pt idx="0">
                  <c:v>High Priority</c:v>
                </c:pt>
                <c:pt idx="1">
                  <c:v>Regular Monitoring</c:v>
                </c:pt>
              </c:strCache>
            </c:strRef>
          </c:cat>
          <c:val>
            <c:numRef>
              <c:f>Support_Priority!$B$2:$B$3</c:f>
              <c:numCache>
                <c:formatCode>General</c:formatCode>
                <c:ptCount val="2"/>
                <c:pt idx="0">
                  <c:v>181</c:v>
                </c:pt>
                <c:pt idx="1">
                  <c:v>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C-4351-9945-694C8C98D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Priority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Records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1</xdr:row>
      <xdr:rowOff>137160</xdr:rowOff>
    </xdr:from>
    <xdr:to>
      <xdr:col>10</xdr:col>
      <xdr:colOff>236220</xdr:colOff>
      <xdr:row>13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D0A48E-8407-4E4A-8F2B-A99DFE152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137160</xdr:colOff>
      <xdr:row>0</xdr:row>
      <xdr:rowOff>167640</xdr:rowOff>
    </xdr:from>
    <xdr:to>
      <xdr:col>18</xdr:col>
      <xdr:colOff>495300</xdr:colOff>
      <xdr:row>12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E50B85-2562-443E-823B-ABE995098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464820</xdr:colOff>
      <xdr:row>13</xdr:row>
      <xdr:rowOff>152400</xdr:rowOff>
    </xdr:from>
    <xdr:to>
      <xdr:col>10</xdr:col>
      <xdr:colOff>266700</xdr:colOff>
      <xdr:row>25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34E1E9-F9A7-48D8-8CC2-5028B74C9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152400</xdr:colOff>
      <xdr:row>13</xdr:row>
      <xdr:rowOff>99060</xdr:rowOff>
    </xdr:from>
    <xdr:to>
      <xdr:col>18</xdr:col>
      <xdr:colOff>464820</xdr:colOff>
      <xdr:row>25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A6F384-2BE5-4561-82EF-8CC41817F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1</xdr:row>
      <xdr:rowOff>15240</xdr:rowOff>
    </xdr:from>
    <xdr:to>
      <xdr:col>12</xdr:col>
      <xdr:colOff>541020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A9784-2F47-A06B-C252-9A021E171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3</xdr:row>
      <xdr:rowOff>7620</xdr:rowOff>
    </xdr:from>
    <xdr:to>
      <xdr:col>11</xdr:col>
      <xdr:colOff>548640</xdr:colOff>
      <xdr:row>18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D88139-489C-18D9-75B7-529003361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6</xdr:row>
      <xdr:rowOff>45720</xdr:rowOff>
    </xdr:from>
    <xdr:to>
      <xdr:col>10</xdr:col>
      <xdr:colOff>259080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46F95C-1871-0AB5-BA47-731CF39C8A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144780</xdr:colOff>
      <xdr:row>2</xdr:row>
      <xdr:rowOff>175260</xdr:rowOff>
    </xdr:from>
    <xdr:to>
      <xdr:col>11</xdr:col>
      <xdr:colOff>373380</xdr:colOff>
      <xdr:row>16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6CCB3-F88B-05BB-CE10-7A8705CAA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4</xdr:row>
      <xdr:rowOff>38100</xdr:rowOff>
    </xdr:from>
    <xdr:to>
      <xdr:col>12</xdr:col>
      <xdr:colOff>381000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3BF15-8D59-A219-555B-2AAFF5A2F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anya Pandian" refreshedDate="46308.505508333335" createdVersion="8" refreshedVersion="8" minRefreshableVersion="3" recordCount="579" xr:uid="{097F3473-1A58-4438-9DAF-097B009FFE5A}">
  <cacheSource type="worksheet">
    <worksheetSource ref="A1:Z580" sheet="Cleaned_Data"/>
  </cacheSource>
  <cacheFields count="26">
    <cacheField name="student_id" numFmtId="0">
      <sharedItems containsBlank="1"/>
    </cacheField>
    <cacheField name="course_code" numFmtId="0">
      <sharedItems containsBlank="1" count="9">
        <s v="CS301"/>
        <s v="CS306"/>
        <s v="EC304"/>
        <s v="EE308"/>
        <s v="IT307"/>
        <s v="MA305"/>
        <s v="CS302"/>
        <s v="IT303"/>
        <m/>
      </sharedItems>
    </cacheField>
    <cacheField name="sessions_held" numFmtId="0">
      <sharedItems containsBlank="1" containsMixedTypes="1" containsNumber="1" containsInteger="1" minValue="24" maxValue="40"/>
    </cacheField>
    <cacheField name="sessions_attended" numFmtId="0">
      <sharedItems containsString="0" containsBlank="1" containsNumber="1" containsInteger="1" minValue="6" maxValue="37"/>
    </cacheField>
    <cacheField name="attendance_percentage" numFmtId="0">
      <sharedItems containsString="0" containsBlank="1" containsNumber="1" minValue="23.07692307692308" maxValue="94.736842105263165"/>
    </cacheField>
    <cacheField name="attendance_valid" numFmtId="0">
      <sharedItems containsBlank="1"/>
    </cacheField>
    <cacheField name="quiz" numFmtId="0">
      <sharedItems containsString="0" containsBlank="1" containsNumber="1" minValue="7.2" maxValue="100"/>
    </cacheField>
    <cacheField name="assignment" numFmtId="0">
      <sharedItems containsString="0" containsBlank="1" containsNumber="1" minValue="11.1" maxValue="100"/>
    </cacheField>
    <cacheField name="test" numFmtId="0">
      <sharedItems containsString="0" containsBlank="1" containsNumber="1" minValue="0.9" maxValue="100"/>
    </cacheField>
    <cacheField name="lab" numFmtId="0">
      <sharedItems containsString="0" containsBlank="1" containsNumber="1" minValue="29.2" maxValue="100"/>
    </cacheField>
    <cacheField name="average_assessment_score" numFmtId="0">
      <sharedItems containsString="0" containsBlank="1" containsNumber="1" minValue="29.55" maxValue="100"/>
    </cacheField>
    <cacheField name="programme" numFmtId="0">
      <sharedItems containsBlank="1"/>
    </cacheField>
    <cacheField name="semester" numFmtId="0">
      <sharedItems containsString="0" containsBlank="1" containsNumber="1" containsInteger="1" minValue="3" maxValue="6"/>
    </cacheField>
    <cacheField name="demographic_group" numFmtId="0">
      <sharedItems containsBlank="1"/>
    </cacheField>
    <cacheField name="lms_logins" numFmtId="0">
      <sharedItems containsString="0" containsBlank="1" containsNumber="1" containsInteger="1" minValue="0" maxValue="34"/>
    </cacheField>
    <cacheField name="submissions" numFmtId="0">
      <sharedItems containsString="0" containsBlank="1" containsNumber="1" containsInteger="1" minValue="3" maxValue="15"/>
    </cacheField>
    <cacheField name="activity" numFmtId="0">
      <sharedItems containsString="0" containsBlank="1" containsNumber="1" containsInteger="1" minValue="2" maxValue="98"/>
    </cacheField>
    <cacheField name="course_type" numFmtId="0">
      <sharedItems containsBlank="1"/>
    </cacheField>
    <cacheField name="credits" numFmtId="0">
      <sharedItems containsString="0" containsBlank="1" containsNumber="1" containsInteger="1" minValue="2" maxValue="4"/>
    </cacheField>
    <cacheField name="faculty" numFmtId="0">
      <sharedItems containsBlank="1"/>
    </cacheField>
    <cacheField name="performance_group" numFmtId="0">
      <sharedItems containsBlank="1"/>
    </cacheField>
    <cacheField name="low_attendance_flag" numFmtId="0">
      <sharedItems containsString="0" containsBlank="1" containsNumber="1" containsInteger="1" minValue="0" maxValue="1"/>
    </cacheField>
    <cacheField name="low_engagement_flag" numFmtId="0">
      <sharedItems containsString="0" containsBlank="1" containsNumber="1" containsInteger="1" minValue="0" maxValue="1"/>
    </cacheField>
    <cacheField name="missing_assessment_count" numFmtId="0">
      <sharedItems containsString="0" containsBlank="1" containsNumber="1" containsInteger="1" minValue="0" maxValue="4"/>
    </cacheField>
    <cacheField name="total_submissions" numFmtId="0">
      <sharedItems containsString="0" containsBlank="1" containsNumber="1" containsInteger="1" minValue="3" maxValue="15"/>
    </cacheField>
    <cacheField name="support_priority" numFmtId="0">
      <sharedItems containsBlank="1" count="3">
        <s v="High Priority"/>
        <s v="Regular Monitor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s v="STU001"/>
    <x v="0"/>
    <n v="27"/>
    <n v="20"/>
    <n v="74.074074074074076"/>
    <b v="1"/>
    <n v="61.3"/>
    <n v="66.2"/>
    <n v="44.4"/>
    <n v="64.2"/>
    <n v="59.025000000000013"/>
    <s v="B.Tech IT"/>
    <n v="5"/>
    <s v="Group C"/>
    <n v="17"/>
    <n v="9"/>
    <n v="60"/>
    <s v="Core"/>
    <n v="4"/>
    <s v="Faculty A"/>
    <s v="Developing"/>
    <n v="1"/>
    <n v="0"/>
    <n v="0"/>
    <n v="9"/>
    <x v="0"/>
  </r>
  <r>
    <s v="STU001"/>
    <x v="1"/>
    <s v="z"/>
    <n v="24"/>
    <n v="63.157894736842103"/>
    <b v="1"/>
    <n v="56.7"/>
    <n v="71.599999999999994"/>
    <n v="55.7"/>
    <n v="67.400000000000006"/>
    <n v="62.85"/>
    <s v="B.Tech IT"/>
    <n v="5"/>
    <s v="Group C"/>
    <n v="21"/>
    <n v="4"/>
    <n v="46"/>
    <s v="Practical"/>
    <n v="2"/>
    <s v="Faculty A"/>
    <s v="Good"/>
    <n v="1"/>
    <n v="0"/>
    <n v="0"/>
    <n v="4"/>
    <x v="1"/>
  </r>
  <r>
    <s v="STU001"/>
    <x v="2"/>
    <n v="36"/>
    <m/>
    <n v="38.888888888888893"/>
    <b v="1"/>
    <n v="31.8"/>
    <n v="48.1"/>
    <m/>
    <n v="62.8"/>
    <n v="47.566666666666663"/>
    <s v="B.Tech IT"/>
    <n v="5"/>
    <s v="Group C"/>
    <n v="17"/>
    <n v="6"/>
    <n v="30"/>
    <s v="Core"/>
    <n v="3"/>
    <s v="Faculty D"/>
    <s v="Developing"/>
    <n v="1"/>
    <n v="0"/>
    <n v="1"/>
    <n v="6"/>
    <x v="0"/>
  </r>
  <r>
    <s v="STU001"/>
    <x v="3"/>
    <n v="24"/>
    <n v="14"/>
    <n v="54.166666666666657"/>
    <b v="1"/>
    <n v="68"/>
    <n v="66"/>
    <n v="68.3"/>
    <n v="68.7"/>
    <n v="67.75"/>
    <s v="B.Tech IT"/>
    <n v="5"/>
    <s v="Group C"/>
    <n v="19"/>
    <n v="7"/>
    <n v="53"/>
    <s v="Core"/>
    <n v="3"/>
    <s v="Faculty G"/>
    <s v="Good"/>
    <n v="1"/>
    <n v="0"/>
    <n v="0"/>
    <n v="7"/>
    <x v="1"/>
  </r>
  <r>
    <s v="STU001"/>
    <x v="4"/>
    <n v="35"/>
    <n v="13"/>
    <n v="45.714285714285722"/>
    <b v="1"/>
    <n v="74.5"/>
    <n v="54.3"/>
    <n v="43.2"/>
    <n v="65.5"/>
    <n v="59.375"/>
    <s v="B.Tech IT"/>
    <n v="5"/>
    <s v="Group C"/>
    <n v="20"/>
    <n v="8"/>
    <n v="68"/>
    <s v="Elective"/>
    <n v="3"/>
    <s v="Faculty F"/>
    <s v="Developing"/>
    <n v="1"/>
    <n v="0"/>
    <n v="0"/>
    <n v="8"/>
    <x v="0"/>
  </r>
  <r>
    <s v="STU001"/>
    <x v="5"/>
    <n v="24"/>
    <n v="16"/>
    <n v="70.833333333333343"/>
    <b v="1"/>
    <n v="88"/>
    <n v="63"/>
    <n v="30"/>
    <n v="81.5"/>
    <n v="65.625"/>
    <s v="B.Tech IT"/>
    <n v="5"/>
    <s v="Group C"/>
    <n v="15"/>
    <n v="9"/>
    <n v="59"/>
    <s v="Foundation"/>
    <n v="4"/>
    <s v="Faculty E"/>
    <s v="Good"/>
    <n v="1"/>
    <n v="0"/>
    <n v="0"/>
    <n v="9"/>
    <x v="1"/>
  </r>
  <r>
    <s v="STU002"/>
    <x v="0"/>
    <n v="30"/>
    <n v="17"/>
    <n v="46.666666666666657"/>
    <b v="1"/>
    <n v="30.2"/>
    <n v="41.5"/>
    <n v="47.1"/>
    <n v="48.4"/>
    <n v="41.8"/>
    <s v="B.E. ECE"/>
    <n v="5"/>
    <s v="Group B"/>
    <n v="17"/>
    <n v="8"/>
    <n v="62"/>
    <s v="Core"/>
    <n v="4"/>
    <s v="Faculty A"/>
    <s v="Developing"/>
    <n v="1"/>
    <n v="0"/>
    <n v="0"/>
    <n v="8"/>
    <x v="0"/>
  </r>
  <r>
    <s v="STU002"/>
    <x v="6"/>
    <n v="37"/>
    <n v="14"/>
    <n v="51.351351351351347"/>
    <b v="1"/>
    <n v="70.400000000000006"/>
    <n v="40.9"/>
    <n v="53.2"/>
    <n v="47.4"/>
    <n v="52.975000000000001"/>
    <s v="B.E. ECE"/>
    <n v="5"/>
    <s v="Group B"/>
    <n v="18"/>
    <n v="7"/>
    <n v="36"/>
    <s v="Core"/>
    <n v="3"/>
    <s v="Faculty B"/>
    <s v="Developing"/>
    <n v="1"/>
    <n v="0"/>
    <n v="0"/>
    <n v="7"/>
    <x v="0"/>
  </r>
  <r>
    <s v="STU002"/>
    <x v="1"/>
    <n v="26"/>
    <n v="19"/>
    <n v="50"/>
    <b v="1"/>
    <n v="51.2"/>
    <n v="40"/>
    <n v="52"/>
    <n v="48.8"/>
    <n v="48"/>
    <s v="B.E. ECE"/>
    <n v="5"/>
    <s v="Group B"/>
    <n v="15"/>
    <n v="8"/>
    <n v="65"/>
    <s v="Practical"/>
    <n v="2"/>
    <s v="Faculty A"/>
    <s v="Developing"/>
    <n v="1"/>
    <n v="0"/>
    <n v="0"/>
    <n v="8"/>
    <x v="0"/>
  </r>
  <r>
    <s v="STU002"/>
    <x v="5"/>
    <n v="26"/>
    <n v="13"/>
    <n v="69.230769230769226"/>
    <b v="1"/>
    <n v="51.5"/>
    <n v="70.900000000000006"/>
    <n v="51.7"/>
    <n v="51.8"/>
    <n v="56.475000000000009"/>
    <s v="B.E. ECE"/>
    <n v="5"/>
    <s v="Group B"/>
    <n v="14"/>
    <n v="5"/>
    <n v="37"/>
    <s v="Foundation"/>
    <n v="4"/>
    <s v="Faculty E"/>
    <s v="Developing"/>
    <n v="1"/>
    <n v="0"/>
    <n v="0"/>
    <n v="5"/>
    <x v="0"/>
  </r>
  <r>
    <s v="STU003"/>
    <x v="0"/>
    <n v="40"/>
    <n v="18"/>
    <n v="62.5"/>
    <b v="1"/>
    <n v="59.2"/>
    <n v="77.900000000000006"/>
    <n v="75.599999999999994"/>
    <n v="88.4"/>
    <n v="75.275000000000006"/>
    <s v="B.E. EEE"/>
    <n v="3"/>
    <s v="Group A"/>
    <n v="29"/>
    <n v="12"/>
    <n v="64"/>
    <s v="Core"/>
    <n v="4"/>
    <s v="Faculty A"/>
    <s v="High Performance"/>
    <n v="1"/>
    <n v="0"/>
    <n v="0"/>
    <n v="12"/>
    <x v="1"/>
  </r>
  <r>
    <s v="STU003"/>
    <x v="6"/>
    <n v="38"/>
    <n v="25"/>
    <n v="65.789473684210535"/>
    <b v="1"/>
    <n v="75.599999999999994"/>
    <m/>
    <n v="93.7"/>
    <n v="100"/>
    <n v="89.766666666666666"/>
    <s v="B.E. EEE"/>
    <n v="3"/>
    <s v="Group A"/>
    <n v="24"/>
    <n v="11"/>
    <n v="69"/>
    <s v="Core"/>
    <n v="3"/>
    <s v="Faculty B"/>
    <s v="High Performance"/>
    <n v="1"/>
    <n v="0"/>
    <n v="1"/>
    <n v="11"/>
    <x v="1"/>
  </r>
  <r>
    <s v="STU003"/>
    <x v="1"/>
    <n v="31"/>
    <n v="25"/>
    <n v="54.838709677419352"/>
    <b v="1"/>
    <n v="100"/>
    <n v="96.6"/>
    <n v="75.8"/>
    <n v="79.099999999999994"/>
    <n v="87.875"/>
    <s v="B.E. EEE"/>
    <n v="3"/>
    <s v="Group A"/>
    <n v="16"/>
    <n v="15"/>
    <n v="53"/>
    <s v="Practical"/>
    <n v="2"/>
    <s v="Faculty A"/>
    <s v="High Performance"/>
    <n v="1"/>
    <n v="0"/>
    <n v="0"/>
    <n v="15"/>
    <x v="1"/>
  </r>
  <r>
    <s v="STU003"/>
    <x v="2"/>
    <n v="32"/>
    <n v="17"/>
    <n v="78.125"/>
    <b v="1"/>
    <n v="100"/>
    <n v="100"/>
    <n v="96.4"/>
    <n v="100"/>
    <n v="99.1"/>
    <s v="B.E. EEE"/>
    <n v="3"/>
    <s v="Group A"/>
    <n v="17"/>
    <n v="11"/>
    <n v="43"/>
    <s v="Core"/>
    <n v="3"/>
    <s v="Faculty D"/>
    <s v="High Performance"/>
    <n v="0"/>
    <n v="0"/>
    <n v="0"/>
    <n v="11"/>
    <x v="1"/>
  </r>
  <r>
    <s v="STU003"/>
    <x v="7"/>
    <n v="31"/>
    <n v="25"/>
    <n v="77.41935483870968"/>
    <b v="1"/>
    <n v="86.6"/>
    <n v="96.8"/>
    <n v="96.6"/>
    <n v="93.9"/>
    <n v="93.474999999999994"/>
    <s v="B.E. EEE"/>
    <n v="3"/>
    <s v="Group A"/>
    <n v="26"/>
    <n v="8"/>
    <n v="67"/>
    <s v="Core"/>
    <n v="4"/>
    <s v="Faculty C"/>
    <s v="High Performance"/>
    <n v="0"/>
    <n v="0"/>
    <n v="0"/>
    <n v="8"/>
    <x v="1"/>
  </r>
  <r>
    <s v="STU003"/>
    <x v="5"/>
    <n v="30"/>
    <n v="24"/>
    <n v="83.333333333333343"/>
    <b v="1"/>
    <n v="100"/>
    <n v="99.6"/>
    <n v="100"/>
    <n v="100"/>
    <n v="99.9"/>
    <s v="B.E. EEE"/>
    <n v="3"/>
    <s v="Group A"/>
    <n v="26"/>
    <n v="7"/>
    <n v="64"/>
    <s v="Foundation"/>
    <n v="4"/>
    <s v="Faculty E"/>
    <s v="High Performance"/>
    <n v="0"/>
    <n v="0"/>
    <n v="0"/>
    <n v="7"/>
    <x v="1"/>
  </r>
  <r>
    <s v="STU004"/>
    <x v="1"/>
    <n v="38"/>
    <n v="25"/>
    <n v="57.894736842105267"/>
    <b v="1"/>
    <n v="52.9"/>
    <n v="61.8"/>
    <n v="38.700000000000003"/>
    <n v="68.099999999999994"/>
    <n v="55.374999999999993"/>
    <s v="B.Tech IT"/>
    <n v="4"/>
    <s v="Group B"/>
    <n v="20"/>
    <n v="9"/>
    <n v="61"/>
    <s v="Practical"/>
    <n v="2"/>
    <s v="Faculty A"/>
    <s v="Developing"/>
    <n v="1"/>
    <n v="0"/>
    <n v="0"/>
    <n v="9"/>
    <x v="0"/>
  </r>
  <r>
    <s v="STU004"/>
    <x v="2"/>
    <n v="35"/>
    <n v="22"/>
    <n v="77.142857142857153"/>
    <b v="1"/>
    <n v="71.3"/>
    <n v="60.2"/>
    <n v="55.5"/>
    <n v="74.900000000000006"/>
    <n v="65.474999999999994"/>
    <s v="B.Tech IT"/>
    <n v="4"/>
    <s v="Group B"/>
    <n v="16"/>
    <n v="6"/>
    <n v="45"/>
    <s v="Core"/>
    <n v="3"/>
    <s v="Faculty D"/>
    <s v="Good"/>
    <n v="0"/>
    <n v="0"/>
    <n v="0"/>
    <n v="6"/>
    <x v="1"/>
  </r>
  <r>
    <s v="STU004"/>
    <x v="3"/>
    <n v="26"/>
    <n v="27"/>
    <n v="65.384615384615387"/>
    <b v="1"/>
    <n v="55.9"/>
    <n v="47.8"/>
    <n v="62.3"/>
    <n v="33.700000000000003"/>
    <n v="49.924999999999997"/>
    <s v="B.Tech IT"/>
    <n v="4"/>
    <s v="Group B"/>
    <n v="13"/>
    <n v="5"/>
    <n v="36"/>
    <s v="Core"/>
    <n v="3"/>
    <s v="Faculty G"/>
    <s v="Developing"/>
    <n v="1"/>
    <n v="0"/>
    <n v="0"/>
    <n v="5"/>
    <x v="0"/>
  </r>
  <r>
    <s v="STU004"/>
    <x v="4"/>
    <n v="34"/>
    <n v="17"/>
    <n v="64.705882352941174"/>
    <b v="1"/>
    <n v="65.2"/>
    <n v="68.2"/>
    <n v="53.7"/>
    <n v="63.9"/>
    <n v="62.750000000000007"/>
    <s v="B.Tech IT"/>
    <n v="4"/>
    <s v="Group B"/>
    <m/>
    <n v="7"/>
    <m/>
    <s v="Elective"/>
    <n v="3"/>
    <s v="Faculty F"/>
    <s v="Good"/>
    <n v="1"/>
    <n v="1"/>
    <n v="0"/>
    <n v="7"/>
    <x v="1"/>
  </r>
  <r>
    <s v="STU004"/>
    <x v="5"/>
    <n v="40"/>
    <n v="22"/>
    <n v="60"/>
    <b v="1"/>
    <n v="63"/>
    <n v="64.599999999999994"/>
    <n v="48"/>
    <n v="53.3"/>
    <n v="57.225000000000001"/>
    <s v="B.Tech IT"/>
    <n v="4"/>
    <s v="Group B"/>
    <n v="20"/>
    <n v="9"/>
    <n v="43"/>
    <s v="Foundation"/>
    <n v="4"/>
    <s v="Faculty E"/>
    <s v="Developing"/>
    <n v="1"/>
    <n v="0"/>
    <n v="0"/>
    <n v="9"/>
    <x v="0"/>
  </r>
  <r>
    <s v="STU005"/>
    <x v="0"/>
    <n v="35"/>
    <n v="24"/>
    <n v="65.714285714285708"/>
    <b v="1"/>
    <n v="57.5"/>
    <n v="79.7"/>
    <n v="95.7"/>
    <n v="64.3"/>
    <n v="74.3"/>
    <s v="B.E. CSE"/>
    <n v="3"/>
    <s v="Group B"/>
    <n v="11"/>
    <n v="8"/>
    <n v="35"/>
    <s v="Core"/>
    <n v="4"/>
    <s v="Faculty A"/>
    <s v="Good"/>
    <n v="1"/>
    <n v="0"/>
    <n v="0"/>
    <n v="8"/>
    <x v="1"/>
  </r>
  <r>
    <s v="STU005"/>
    <x v="6"/>
    <n v="32"/>
    <n v="23"/>
    <n v="59.375"/>
    <b v="1"/>
    <n v="37"/>
    <n v="59.4"/>
    <n v="59.8"/>
    <m/>
    <n v="52.066666666666663"/>
    <s v="B.E. CSE"/>
    <n v="3"/>
    <s v="Group B"/>
    <n v="21"/>
    <n v="13"/>
    <n v="47"/>
    <s v="Core"/>
    <n v="3"/>
    <s v="Faculty B"/>
    <s v="Developing"/>
    <n v="1"/>
    <n v="0"/>
    <n v="1"/>
    <n v="13"/>
    <x v="0"/>
  </r>
  <r>
    <s v="STU005"/>
    <x v="6"/>
    <n v="32"/>
    <n v="19"/>
    <n v="59.375"/>
    <b v="1"/>
    <n v="58"/>
    <n v="84.8"/>
    <n v="57.2"/>
    <n v="72.599999999999994"/>
    <n v="68.150000000000006"/>
    <s v="B.E. CSE"/>
    <n v="3"/>
    <s v="Group B"/>
    <n v="21"/>
    <n v="13"/>
    <n v="47"/>
    <s v="Core"/>
    <n v="3"/>
    <s v="Faculty B"/>
    <s v="Good"/>
    <n v="1"/>
    <n v="0"/>
    <n v="0"/>
    <n v="13"/>
    <x v="1"/>
  </r>
  <r>
    <s v="STU005"/>
    <x v="1"/>
    <n v="37"/>
    <n v="19"/>
    <n v="72.972972972972968"/>
    <b v="1"/>
    <m/>
    <m/>
    <m/>
    <m/>
    <m/>
    <s v="B.E. CSE"/>
    <n v="3"/>
    <s v="Group B"/>
    <n v="20"/>
    <n v="7"/>
    <n v="60"/>
    <s v="Practical"/>
    <n v="2"/>
    <s v="Faculty A"/>
    <m/>
    <n v="1"/>
    <n v="0"/>
    <n v="4"/>
    <n v="7"/>
    <x v="1"/>
  </r>
  <r>
    <s v="STU005"/>
    <x v="2"/>
    <n v="33"/>
    <n v="27"/>
    <n v="72.727272727272734"/>
    <b v="1"/>
    <n v="44"/>
    <n v="75.5"/>
    <n v="55.2"/>
    <n v="83.8"/>
    <n v="64.625"/>
    <s v="B.E. CSE"/>
    <n v="3"/>
    <s v="Group B"/>
    <n v="15"/>
    <n v="7"/>
    <n v="52"/>
    <s v="Core"/>
    <n v="3"/>
    <s v="Faculty D"/>
    <s v="Good"/>
    <n v="1"/>
    <n v="0"/>
    <n v="0"/>
    <n v="7"/>
    <x v="1"/>
  </r>
  <r>
    <s v="STU005"/>
    <x v="4"/>
    <n v="36"/>
    <n v="24"/>
    <n v="58.333333333333343"/>
    <b v="1"/>
    <n v="58.4"/>
    <n v="51.8"/>
    <n v="91.5"/>
    <n v="100"/>
    <n v="75.424999999999997"/>
    <s v="B.E. CSE"/>
    <n v="3"/>
    <s v="Group B"/>
    <n v="15"/>
    <n v="5"/>
    <n v="44"/>
    <s v="Elective"/>
    <n v="3"/>
    <s v="Faculty F"/>
    <s v="High Performance"/>
    <n v="1"/>
    <n v="0"/>
    <n v="0"/>
    <n v="5"/>
    <x v="1"/>
  </r>
  <r>
    <s v="STU005"/>
    <x v="5"/>
    <n v="31"/>
    <n v="21"/>
    <n v="67.741935483870961"/>
    <b v="1"/>
    <m/>
    <n v="50.3"/>
    <n v="57"/>
    <n v="49.9"/>
    <n v="52.4"/>
    <s v="B.E. CSE"/>
    <n v="3"/>
    <s v="Group B"/>
    <n v="20"/>
    <n v="7"/>
    <n v="44"/>
    <s v="Foundation"/>
    <n v="4"/>
    <s v="Faculty E"/>
    <s v="Developing"/>
    <n v="1"/>
    <n v="0"/>
    <n v="1"/>
    <n v="7"/>
    <x v="0"/>
  </r>
  <r>
    <s v="STU006"/>
    <x v="6"/>
    <n v="36"/>
    <n v="21"/>
    <n v="69.444444444444443"/>
    <b v="1"/>
    <n v="73.599999999999994"/>
    <n v="73.2"/>
    <n v="67.599999999999994"/>
    <n v="84.1"/>
    <n v="74.625"/>
    <s v="B.E. EEE"/>
    <n v="4"/>
    <s v="Group C"/>
    <n v="9"/>
    <n v="9"/>
    <n v="33"/>
    <s v="Core"/>
    <n v="3"/>
    <s v="Faculty B"/>
    <s v="Good"/>
    <n v="1"/>
    <n v="0"/>
    <n v="0"/>
    <n v="9"/>
    <x v="1"/>
  </r>
  <r>
    <s v="STU006"/>
    <x v="1"/>
    <n v="40"/>
    <n v="25"/>
    <n v="72.5"/>
    <b v="1"/>
    <n v="54.1"/>
    <n v="54.5"/>
    <n v="72.3"/>
    <n v="72.8"/>
    <n v="63.424999999999997"/>
    <s v="B.E. EEE"/>
    <n v="4"/>
    <s v="Group C"/>
    <n v="30"/>
    <n v="9"/>
    <n v="77"/>
    <s v="Practical"/>
    <n v="2"/>
    <s v="Faculty A"/>
    <s v="Good"/>
    <n v="1"/>
    <n v="0"/>
    <n v="0"/>
    <n v="9"/>
    <x v="1"/>
  </r>
  <r>
    <s v="STU006"/>
    <x v="3"/>
    <n v="27"/>
    <n v="29"/>
    <n v="59.259259259259252"/>
    <b v="1"/>
    <n v="56.4"/>
    <n v="80.5"/>
    <n v="72.099999999999994"/>
    <n v="68.8"/>
    <n v="69.45"/>
    <s v="B.E. EEE"/>
    <n v="4"/>
    <s v="Group C"/>
    <n v="18"/>
    <n v="11"/>
    <n v="49"/>
    <s v="Core"/>
    <n v="3"/>
    <s v="Faculty G"/>
    <s v="Good"/>
    <n v="1"/>
    <n v="0"/>
    <n v="0"/>
    <n v="11"/>
    <x v="1"/>
  </r>
  <r>
    <s v="STU006"/>
    <x v="7"/>
    <n v="36"/>
    <n v="16"/>
    <n v="58.333333333333343"/>
    <b v="1"/>
    <n v="72.900000000000006"/>
    <n v="82.9"/>
    <n v="56.1"/>
    <n v="68.400000000000006"/>
    <n v="70.075000000000003"/>
    <s v="B.E. EEE"/>
    <n v="4"/>
    <s v="Group C"/>
    <n v="15"/>
    <n v="10"/>
    <n v="60"/>
    <s v="Core"/>
    <n v="4"/>
    <s v="Faculty C"/>
    <s v="Good"/>
    <n v="1"/>
    <n v="0"/>
    <n v="0"/>
    <n v="10"/>
    <x v="1"/>
  </r>
  <r>
    <s v="STU006"/>
    <x v="5"/>
    <n v="32"/>
    <n v="21"/>
    <n v="40.625"/>
    <b v="1"/>
    <n v="50.4"/>
    <n v="62.8"/>
    <n v="58"/>
    <n v="52.8"/>
    <n v="56"/>
    <s v="B.E. EEE"/>
    <n v="4"/>
    <s v="Group C"/>
    <n v="7"/>
    <n v="10"/>
    <n v="28"/>
    <s v="Foundation"/>
    <n v="4"/>
    <s v="Faculty E"/>
    <s v="Developing"/>
    <n v="1"/>
    <n v="0"/>
    <n v="0"/>
    <n v="10"/>
    <x v="0"/>
  </r>
  <r>
    <s v="STU007"/>
    <x v="1"/>
    <n v="38"/>
    <n v="13"/>
    <n v="31.578947368421051"/>
    <b v="1"/>
    <n v="40.5"/>
    <n v="71.2"/>
    <n v="53.5"/>
    <n v="65.5"/>
    <n v="57.674999999999997"/>
    <s v="B.Tech IT"/>
    <n v="4"/>
    <s v="Group B"/>
    <n v="9"/>
    <n v="6"/>
    <n v="40"/>
    <s v="Practical"/>
    <n v="2"/>
    <s v="Faculty A"/>
    <s v="Developing"/>
    <n v="1"/>
    <n v="0"/>
    <n v="0"/>
    <n v="6"/>
    <x v="0"/>
  </r>
  <r>
    <s v="STU007"/>
    <x v="2"/>
    <n v="40"/>
    <n v="12"/>
    <n v="60"/>
    <b v="1"/>
    <n v="52.6"/>
    <m/>
    <n v="70.099999999999994"/>
    <n v="69.3"/>
    <n v="64"/>
    <s v="B.Tech IT"/>
    <n v="4"/>
    <s v="Group B"/>
    <n v="20"/>
    <n v="8"/>
    <n v="62"/>
    <s v="Core"/>
    <n v="3"/>
    <s v="Faculty D"/>
    <s v="Good"/>
    <n v="1"/>
    <n v="0"/>
    <n v="1"/>
    <n v="8"/>
    <x v="1"/>
  </r>
  <r>
    <s v="STU007"/>
    <x v="3"/>
    <n v="39"/>
    <n v="24"/>
    <n v="51.282051282051277"/>
    <b v="1"/>
    <n v="27.3"/>
    <n v="50.5"/>
    <n v="40.299999999999997"/>
    <n v="60.3"/>
    <n v="44.6"/>
    <s v="B.Tech IT"/>
    <n v="4"/>
    <s v="Group B"/>
    <n v="22"/>
    <n v="8"/>
    <n v="50"/>
    <s v="Core"/>
    <n v="3"/>
    <s v="Faculty G"/>
    <s v="Developing"/>
    <n v="1"/>
    <n v="0"/>
    <n v="0"/>
    <n v="8"/>
    <x v="0"/>
  </r>
  <r>
    <s v="STU007"/>
    <x v="5"/>
    <n v="31"/>
    <n v="20"/>
    <n v="61.29032258064516"/>
    <b v="1"/>
    <n v="43.4"/>
    <n v="47.3"/>
    <m/>
    <n v="61.8"/>
    <n v="50.833333333333343"/>
    <s v="B.Tech IT"/>
    <n v="4"/>
    <s v="Group B"/>
    <n v="12"/>
    <n v="8"/>
    <n v="52"/>
    <s v="Foundation"/>
    <n v="4"/>
    <s v="Faculty E"/>
    <s v="Developing"/>
    <n v="1"/>
    <n v="0"/>
    <n v="1"/>
    <n v="8"/>
    <x v="0"/>
  </r>
  <r>
    <s v="STU008"/>
    <x v="0"/>
    <n v="37"/>
    <n v="19"/>
    <n v="48.648648648648653"/>
    <b v="1"/>
    <n v="68.5"/>
    <n v="59.7"/>
    <n v="65"/>
    <n v="74"/>
    <n v="66.8"/>
    <s v="B.Tech IT"/>
    <n v="3"/>
    <s v="Group A"/>
    <n v="26"/>
    <n v="11"/>
    <n v="67"/>
    <s v="Core"/>
    <n v="4"/>
    <s v="Faculty A"/>
    <s v="Good"/>
    <n v="1"/>
    <n v="0"/>
    <n v="0"/>
    <n v="11"/>
    <x v="1"/>
  </r>
  <r>
    <s v="STU008"/>
    <x v="6"/>
    <n v="37"/>
    <n v="18"/>
    <n v="43.243243243243242"/>
    <b v="1"/>
    <n v="66.5"/>
    <n v="71.400000000000006"/>
    <n v="38.200000000000003"/>
    <n v="44.8"/>
    <n v="55.225000000000009"/>
    <s v="B.Tech IT"/>
    <n v="3"/>
    <s v="Group A"/>
    <n v="16"/>
    <n v="11"/>
    <n v="65"/>
    <s v="Core"/>
    <n v="3"/>
    <s v="Faculty B"/>
    <s v="Developing"/>
    <n v="1"/>
    <n v="0"/>
    <n v="0"/>
    <n v="11"/>
    <x v="0"/>
  </r>
  <r>
    <s v="STU008"/>
    <x v="1"/>
    <n v="36"/>
    <n v="16"/>
    <n v="75"/>
    <b v="1"/>
    <n v="74.3"/>
    <n v="86.5"/>
    <n v="75.900000000000006"/>
    <n v="82.6"/>
    <n v="79.825000000000003"/>
    <s v="B.Tech IT"/>
    <n v="3"/>
    <s v="Group A"/>
    <n v="22"/>
    <n v="10"/>
    <n v="44"/>
    <s v="Practical"/>
    <n v="2"/>
    <s v="Faculty A"/>
    <s v="High Performance"/>
    <n v="0"/>
    <n v="0"/>
    <n v="0"/>
    <n v="10"/>
    <x v="1"/>
  </r>
  <r>
    <s v="STU008"/>
    <x v="3"/>
    <n v="37"/>
    <n v="27"/>
    <n v="64.86486486486487"/>
    <b v="1"/>
    <n v="47.6"/>
    <n v="84.8"/>
    <n v="85.2"/>
    <n v="82.2"/>
    <n v="74.95"/>
    <s v="B.Tech IT"/>
    <n v="3"/>
    <s v="Group A"/>
    <n v="19"/>
    <n v="12"/>
    <n v="54"/>
    <s v="Core"/>
    <n v="3"/>
    <s v="Faculty G"/>
    <s v="Good"/>
    <n v="1"/>
    <n v="0"/>
    <n v="0"/>
    <n v="12"/>
    <x v="1"/>
  </r>
  <r>
    <s v="STU008"/>
    <x v="4"/>
    <n v="24"/>
    <n v="24"/>
    <n v="70.833333333333343"/>
    <b v="1"/>
    <n v="53.2"/>
    <n v="69"/>
    <n v="57.7"/>
    <n v="61.8"/>
    <n v="60.424999999999997"/>
    <s v="B.Tech IT"/>
    <n v="3"/>
    <s v="Group A"/>
    <n v="28"/>
    <n v="12"/>
    <n v="81"/>
    <s v="Elective"/>
    <n v="3"/>
    <s v="Faculty F"/>
    <s v="Good"/>
    <n v="1"/>
    <n v="0"/>
    <n v="0"/>
    <n v="12"/>
    <x v="1"/>
  </r>
  <r>
    <s v="STU009"/>
    <x v="0"/>
    <n v="31"/>
    <n v="17"/>
    <n v="48.387096774193552"/>
    <b v="1"/>
    <n v="83.1"/>
    <n v="59.2"/>
    <n v="34.200000000000003"/>
    <n v="56.1"/>
    <n v="58.15"/>
    <s v="B.E. CSE"/>
    <n v="3"/>
    <s v="Group A"/>
    <n v="17"/>
    <n v="9"/>
    <n v="50"/>
    <s v="Core"/>
    <n v="4"/>
    <s v="Faculty A"/>
    <s v="Developing"/>
    <n v="1"/>
    <n v="0"/>
    <n v="0"/>
    <n v="9"/>
    <x v="0"/>
  </r>
  <r>
    <s v="STU009"/>
    <x v="1"/>
    <n v="28"/>
    <n v="15"/>
    <n v="67.857142857142861"/>
    <b v="1"/>
    <n v="60.3"/>
    <n v="74.8"/>
    <n v="58.2"/>
    <n v="68.599999999999994"/>
    <n v="65.474999999999994"/>
    <s v="B.E. CSE"/>
    <n v="3"/>
    <s v="Group A"/>
    <n v="20"/>
    <n v="8"/>
    <n v="58"/>
    <s v="Practical"/>
    <n v="2"/>
    <s v="Faculty A"/>
    <s v="Good"/>
    <n v="1"/>
    <n v="0"/>
    <n v="0"/>
    <n v="8"/>
    <x v="1"/>
  </r>
  <r>
    <s v="STU009"/>
    <x v="7"/>
    <n v="28"/>
    <n v="19"/>
    <n v="53.571428571428569"/>
    <b v="1"/>
    <m/>
    <n v="70.900000000000006"/>
    <n v="35"/>
    <n v="67.900000000000006"/>
    <n v="57.933333333333337"/>
    <s v="B.E. CSE"/>
    <n v="3"/>
    <s v="Group A"/>
    <m/>
    <n v="11"/>
    <m/>
    <s v="Core"/>
    <n v="4"/>
    <s v="Faculty C"/>
    <s v="Developing"/>
    <n v="1"/>
    <n v="1"/>
    <n v="1"/>
    <n v="11"/>
    <x v="0"/>
  </r>
  <r>
    <s v="STU009"/>
    <x v="5"/>
    <n v="38"/>
    <n v="15"/>
    <n v="52.631578947368418"/>
    <b v="1"/>
    <n v="67"/>
    <n v="71.599999999999994"/>
    <n v="78.8"/>
    <n v="79.7"/>
    <n v="74.274999999999991"/>
    <s v="B.E. CSE"/>
    <n v="3"/>
    <s v="Group A"/>
    <n v="16"/>
    <n v="6"/>
    <n v="46"/>
    <s v="Foundation"/>
    <n v="4"/>
    <s v="Faculty E"/>
    <s v="Good"/>
    <n v="1"/>
    <n v="0"/>
    <n v="0"/>
    <n v="6"/>
    <x v="1"/>
  </r>
  <r>
    <s v="STU010"/>
    <x v="2"/>
    <n v="37"/>
    <n v="20"/>
    <n v="67.567567567567565"/>
    <b v="1"/>
    <n v="85.8"/>
    <n v="100"/>
    <n v="91.4"/>
    <n v="82.1"/>
    <n v="89.825000000000017"/>
    <s v="B.E. ECE"/>
    <n v="5"/>
    <s v="Group A"/>
    <n v="24"/>
    <n v="9"/>
    <n v="59"/>
    <s v="Core"/>
    <n v="3"/>
    <s v="Faculty D"/>
    <s v="High Performance"/>
    <n v="1"/>
    <n v="0"/>
    <n v="0"/>
    <n v="9"/>
    <x v="1"/>
  </r>
  <r>
    <s v="STU010"/>
    <x v="3"/>
    <n v="27"/>
    <n v="25"/>
    <n v="70.370370370370367"/>
    <b v="1"/>
    <n v="72.900000000000006"/>
    <n v="94.5"/>
    <n v="60.4"/>
    <n v="84.5"/>
    <n v="78.075000000000003"/>
    <s v="B.E. ECE"/>
    <n v="5"/>
    <s v="Group A"/>
    <n v="16"/>
    <n v="10"/>
    <n v="51"/>
    <s v="Core"/>
    <n v="3"/>
    <s v="Faculty G"/>
    <s v="High Performance"/>
    <n v="1"/>
    <n v="0"/>
    <n v="0"/>
    <n v="10"/>
    <x v="1"/>
  </r>
  <r>
    <s v="STU010"/>
    <x v="4"/>
    <n v="25"/>
    <n v="19"/>
    <n v="64"/>
    <b v="1"/>
    <n v="66.3"/>
    <n v="78.8"/>
    <n v="95"/>
    <m/>
    <n v="80.033333333333331"/>
    <s v="B.E. ECE"/>
    <n v="5"/>
    <s v="Group A"/>
    <n v="17"/>
    <n v="13"/>
    <n v="51"/>
    <s v="Elective"/>
    <n v="3"/>
    <s v="Faculty F"/>
    <s v="High Performance"/>
    <n v="1"/>
    <n v="0"/>
    <n v="1"/>
    <n v="13"/>
    <x v="1"/>
  </r>
  <r>
    <s v="STU010"/>
    <x v="5"/>
    <n v="36"/>
    <n v="16"/>
    <n v="80.555555555555557"/>
    <b v="1"/>
    <n v="84.3"/>
    <n v="86.1"/>
    <n v="83.7"/>
    <n v="91.8"/>
    <n v="86.474999999999994"/>
    <s v="B.E. ECE"/>
    <n v="5"/>
    <s v="Group A"/>
    <n v="10"/>
    <n v="11"/>
    <n v="29"/>
    <s v="Foundation"/>
    <n v="4"/>
    <s v="Faculty E"/>
    <s v="High Performance"/>
    <n v="0"/>
    <n v="0"/>
    <n v="0"/>
    <n v="11"/>
    <x v="1"/>
  </r>
  <r>
    <s v="STU011"/>
    <x v="0"/>
    <n v="25"/>
    <n v="29"/>
    <n v="56.000000000000007"/>
    <b v="1"/>
    <n v="49.6"/>
    <n v="55.5"/>
    <n v="52"/>
    <n v="66.3"/>
    <n v="55.85"/>
    <s v="B.E. CSE"/>
    <n v="3"/>
    <s v="Group B"/>
    <n v="11"/>
    <n v="6"/>
    <n v="30"/>
    <s v="Core"/>
    <n v="4"/>
    <s v="Faculty A"/>
    <s v="Developing"/>
    <n v="1"/>
    <n v="0"/>
    <n v="0"/>
    <n v="6"/>
    <x v="0"/>
  </r>
  <r>
    <s v="STU011"/>
    <x v="6"/>
    <n v="34"/>
    <n v="14"/>
    <n v="85.294117647058826"/>
    <b v="1"/>
    <n v="35.4"/>
    <n v="56.5"/>
    <n v="33.700000000000003"/>
    <n v="51"/>
    <n v="44.150000000000013"/>
    <s v="B.E. CSE"/>
    <n v="3"/>
    <s v="Group B"/>
    <n v="20"/>
    <n v="9"/>
    <n v="50"/>
    <s v="Core"/>
    <n v="3"/>
    <s v="Faculty B"/>
    <s v="Developing"/>
    <n v="0"/>
    <n v="0"/>
    <n v="0"/>
    <n v="9"/>
    <x v="1"/>
  </r>
  <r>
    <s v="STU011"/>
    <x v="1"/>
    <n v="26"/>
    <n v="29"/>
    <n v="73.076923076923066"/>
    <b v="1"/>
    <n v="38.200000000000003"/>
    <n v="58.3"/>
    <n v="25"/>
    <n v="59"/>
    <n v="45.125"/>
    <s v="B.E. CSE"/>
    <n v="3"/>
    <s v="Group B"/>
    <n v="18"/>
    <n v="8"/>
    <n v="67"/>
    <s v="Practical"/>
    <n v="2"/>
    <s v="Faculty A"/>
    <s v="Developing"/>
    <n v="1"/>
    <n v="0"/>
    <n v="0"/>
    <n v="8"/>
    <x v="0"/>
  </r>
  <r>
    <s v="STU011"/>
    <x v="3"/>
    <n v="30"/>
    <n v="19"/>
    <n v="73.333333333333329"/>
    <b v="1"/>
    <n v="19.7"/>
    <n v="37.700000000000003"/>
    <n v="36.1"/>
    <n v="51.7"/>
    <n v="36.299999999999997"/>
    <s v="B.E. CSE"/>
    <n v="3"/>
    <s v="Group B"/>
    <m/>
    <m/>
    <m/>
    <s v="Core"/>
    <n v="3"/>
    <s v="Faculty G"/>
    <s v="Needs Support"/>
    <n v="1"/>
    <n v="1"/>
    <n v="0"/>
    <m/>
    <x v="0"/>
  </r>
  <r>
    <s v="STU012"/>
    <x v="0"/>
    <n v="26"/>
    <n v="22"/>
    <n v="80.769230769230774"/>
    <b v="1"/>
    <n v="89.5"/>
    <n v="88.8"/>
    <n v="93.7"/>
    <n v="88.5"/>
    <n v="90.125"/>
    <s v="B.E. EEE"/>
    <n v="6"/>
    <s v="Group C"/>
    <n v="18"/>
    <n v="10"/>
    <n v="26"/>
    <s v="Core"/>
    <n v="4"/>
    <s v="Faculty A"/>
    <s v="High Performance"/>
    <n v="0"/>
    <n v="0"/>
    <n v="0"/>
    <n v="10"/>
    <x v="1"/>
  </r>
  <r>
    <s v="STU012"/>
    <x v="1"/>
    <n v="38"/>
    <n v="21"/>
    <n v="81.578947368421055"/>
    <b v="1"/>
    <n v="74.599999999999994"/>
    <n v="81.900000000000006"/>
    <n v="79.099999999999994"/>
    <n v="90.6"/>
    <n v="81.55"/>
    <s v="B.E. EEE"/>
    <n v="6"/>
    <s v="Group C"/>
    <n v="15"/>
    <n v="7"/>
    <n v="57"/>
    <s v="Practical"/>
    <n v="2"/>
    <s v="Faculty A"/>
    <s v="High Performance"/>
    <n v="0"/>
    <n v="0"/>
    <n v="0"/>
    <n v="7"/>
    <x v="1"/>
  </r>
  <r>
    <s v="STU012"/>
    <x v="2"/>
    <n v="28"/>
    <n v="31"/>
    <n v="64.285714285714292"/>
    <b v="1"/>
    <n v="74.900000000000006"/>
    <n v="72.8"/>
    <n v="69.2"/>
    <n v="97.4"/>
    <n v="78.574999999999989"/>
    <s v="B.E. EEE"/>
    <n v="6"/>
    <s v="Group C"/>
    <n v="18"/>
    <n v="10"/>
    <n v="50"/>
    <s v="Core"/>
    <n v="3"/>
    <s v="Faculty D"/>
    <s v="High Performance"/>
    <n v="1"/>
    <n v="0"/>
    <n v="0"/>
    <n v="10"/>
    <x v="1"/>
  </r>
  <r>
    <s v="STU012"/>
    <x v="3"/>
    <n v="30"/>
    <n v="18"/>
    <n v="70"/>
    <b v="1"/>
    <n v="94.1"/>
    <n v="100"/>
    <n v="82.4"/>
    <n v="92.4"/>
    <n v="92.224999999999994"/>
    <s v="B.E. EEE"/>
    <n v="6"/>
    <s v="Group C"/>
    <n v="13"/>
    <n v="9"/>
    <n v="52"/>
    <s v="Core"/>
    <n v="3"/>
    <s v="Faculty G"/>
    <s v="High Performance"/>
    <n v="1"/>
    <n v="0"/>
    <n v="0"/>
    <n v="9"/>
    <x v="1"/>
  </r>
  <r>
    <s v="STU012"/>
    <x v="7"/>
    <n v="37"/>
    <n v="21"/>
    <n v="67.567567567567565"/>
    <b v="1"/>
    <n v="99.3"/>
    <n v="86.2"/>
    <n v="63.8"/>
    <n v="85.9"/>
    <n v="83.800000000000011"/>
    <s v="B.E. EEE"/>
    <n v="6"/>
    <s v="Group C"/>
    <n v="19"/>
    <n v="7"/>
    <n v="52"/>
    <s v="Core"/>
    <n v="4"/>
    <s v="Faculty C"/>
    <s v="High Performance"/>
    <n v="1"/>
    <n v="0"/>
    <n v="0"/>
    <n v="7"/>
    <x v="1"/>
  </r>
  <r>
    <s v="STU012"/>
    <x v="4"/>
    <n v="26"/>
    <n v="25"/>
    <n v="23.07692307692308"/>
    <b v="1"/>
    <n v="74.599999999999994"/>
    <n v="79"/>
    <n v="50.9"/>
    <n v="69.8"/>
    <n v="68.575000000000003"/>
    <s v="B.E. EEE"/>
    <n v="6"/>
    <s v="Group C"/>
    <n v="22"/>
    <n v="9"/>
    <n v="80"/>
    <s v="Elective"/>
    <n v="3"/>
    <s v="Faculty F"/>
    <s v="Good"/>
    <n v="1"/>
    <n v="0"/>
    <n v="0"/>
    <n v="9"/>
    <x v="1"/>
  </r>
  <r>
    <s v="STU013"/>
    <x v="0"/>
    <n v="39"/>
    <n v="6"/>
    <n v="79.487179487179489"/>
    <b v="1"/>
    <n v="37.299999999999997"/>
    <n v="51.7"/>
    <n v="40.799999999999997"/>
    <n v="64.599999999999994"/>
    <n v="48.6"/>
    <s v="B.Tech IT"/>
    <n v="5"/>
    <s v="Group B"/>
    <n v="17"/>
    <n v="8"/>
    <n v="56"/>
    <s v="Core"/>
    <n v="4"/>
    <s v="Faculty A"/>
    <s v="Developing"/>
    <n v="0"/>
    <n v="0"/>
    <n v="0"/>
    <n v="8"/>
    <x v="1"/>
  </r>
  <r>
    <s v="STU013"/>
    <x v="1"/>
    <n v="30"/>
    <n v="31"/>
    <n v="83.333333333333343"/>
    <b v="1"/>
    <n v="64.900000000000006"/>
    <n v="74.7"/>
    <n v="74.900000000000006"/>
    <n v="74.3"/>
    <n v="72.2"/>
    <s v="B.Tech IT"/>
    <n v="5"/>
    <s v="Group B"/>
    <n v="20"/>
    <n v="10"/>
    <n v="55"/>
    <s v="Practical"/>
    <n v="2"/>
    <s v="Faculty A"/>
    <s v="Good"/>
    <n v="0"/>
    <n v="0"/>
    <n v="0"/>
    <n v="10"/>
    <x v="1"/>
  </r>
  <r>
    <s v="STU013"/>
    <x v="2"/>
    <n v="29"/>
    <n v="25"/>
    <n v="65.517241379310349"/>
    <b v="1"/>
    <n v="67.8"/>
    <n v="74.599999999999994"/>
    <n v="41.7"/>
    <n v="73.3"/>
    <n v="64.349999999999994"/>
    <s v="B.Tech IT"/>
    <n v="5"/>
    <s v="Group B"/>
    <n v="16"/>
    <n v="8"/>
    <n v="57"/>
    <s v="Core"/>
    <n v="3"/>
    <s v="Faculty D"/>
    <s v="Good"/>
    <n v="1"/>
    <n v="0"/>
    <n v="0"/>
    <n v="8"/>
    <x v="1"/>
  </r>
  <r>
    <s v="STU013"/>
    <x v="3"/>
    <n v="40"/>
    <n v="19"/>
    <n v="52.5"/>
    <b v="1"/>
    <n v="65.2"/>
    <n v="62.6"/>
    <n v="60.3"/>
    <n v="70.599999999999994"/>
    <n v="64.675000000000011"/>
    <s v="B.Tech IT"/>
    <n v="5"/>
    <s v="Group B"/>
    <n v="14"/>
    <n v="10"/>
    <n v="49"/>
    <s v="Core"/>
    <n v="3"/>
    <s v="Faculty G"/>
    <s v="Good"/>
    <n v="1"/>
    <n v="0"/>
    <n v="0"/>
    <n v="10"/>
    <x v="1"/>
  </r>
  <r>
    <s v="STU014"/>
    <x v="6"/>
    <n v="25"/>
    <n v="21"/>
    <n v="48"/>
    <b v="1"/>
    <n v="78.599999999999994"/>
    <n v="85.9"/>
    <n v="76.400000000000006"/>
    <n v="87.8"/>
    <n v="82.174999999999997"/>
    <s v="B.Tech IT"/>
    <n v="4"/>
    <s v="Group A"/>
    <n v="16"/>
    <n v="12"/>
    <n v="45"/>
    <s v="Core"/>
    <n v="3"/>
    <s v="Faculty B"/>
    <s v="High Performance"/>
    <n v="1"/>
    <n v="0"/>
    <n v="0"/>
    <n v="12"/>
    <x v="1"/>
  </r>
  <r>
    <s v="STU014"/>
    <x v="1"/>
    <n v="30"/>
    <n v="12"/>
    <n v="56.666666666666657"/>
    <b v="1"/>
    <n v="58.7"/>
    <n v="75.5"/>
    <n v="49.7"/>
    <n v="76.099999999999994"/>
    <n v="65"/>
    <s v="B.Tech IT"/>
    <n v="4"/>
    <s v="Group A"/>
    <n v="11"/>
    <n v="9"/>
    <n v="41"/>
    <s v="Practical"/>
    <n v="2"/>
    <s v="Faculty A"/>
    <s v="Good"/>
    <n v="1"/>
    <n v="0"/>
    <n v="0"/>
    <n v="9"/>
    <x v="1"/>
  </r>
  <r>
    <s v="STU014"/>
    <x v="4"/>
    <n v="33"/>
    <n v="17"/>
    <n v="63.636363636363633"/>
    <b v="1"/>
    <n v="67.7"/>
    <n v="87.4"/>
    <n v="81.8"/>
    <n v="72.8"/>
    <n v="77.425000000000011"/>
    <s v="B.Tech IT"/>
    <n v="4"/>
    <s v="Group A"/>
    <n v="23"/>
    <n v="10"/>
    <n v="62"/>
    <s v="Elective"/>
    <n v="3"/>
    <s v="Faculty F"/>
    <s v="High Performance"/>
    <n v="1"/>
    <n v="0"/>
    <n v="0"/>
    <n v="10"/>
    <x v="1"/>
  </r>
  <r>
    <s v="STU014"/>
    <x v="5"/>
    <n v="35"/>
    <n v="21"/>
    <n v="60"/>
    <b v="1"/>
    <n v="59"/>
    <n v="63.5"/>
    <n v="71.2"/>
    <n v="76.2"/>
    <n v="67.474999999999994"/>
    <s v="B.Tech IT"/>
    <n v="4"/>
    <s v="Group A"/>
    <n v="19"/>
    <n v="8"/>
    <n v="59"/>
    <s v="Foundation"/>
    <n v="4"/>
    <s v="Faculty E"/>
    <s v="Good"/>
    <n v="1"/>
    <n v="0"/>
    <n v="0"/>
    <n v="8"/>
    <x v="1"/>
  </r>
  <r>
    <s v="STU015"/>
    <x v="0"/>
    <n v="36"/>
    <n v="21"/>
    <n v="58.333333333333343"/>
    <b v="1"/>
    <n v="96.3"/>
    <n v="100"/>
    <n v="80.400000000000006"/>
    <n v="82.9"/>
    <n v="89.9"/>
    <s v="B.E. ECE"/>
    <n v="5"/>
    <s v="Group A"/>
    <n v="17"/>
    <n v="10"/>
    <n v="51"/>
    <s v="Core"/>
    <n v="4"/>
    <s v="Faculty A"/>
    <s v="High Performance"/>
    <n v="1"/>
    <n v="0"/>
    <n v="0"/>
    <n v="10"/>
    <x v="1"/>
  </r>
  <r>
    <s v="STU015"/>
    <x v="1"/>
    <n v="39"/>
    <n v="21"/>
    <n v="76.923076923076934"/>
    <b v="1"/>
    <n v="71.2"/>
    <n v="83.4"/>
    <n v="87.5"/>
    <n v="87"/>
    <n v="82.275000000000006"/>
    <s v="B.E. ECE"/>
    <n v="5"/>
    <s v="Group A"/>
    <n v="16"/>
    <n v="12"/>
    <n v="63"/>
    <s v="Practical"/>
    <n v="2"/>
    <s v="Faculty A"/>
    <s v="High Performance"/>
    <n v="0"/>
    <n v="0"/>
    <n v="0"/>
    <n v="12"/>
    <x v="1"/>
  </r>
  <r>
    <s v="STU015"/>
    <x v="3"/>
    <n v="35"/>
    <n v="30"/>
    <n v="82.857142857142861"/>
    <b v="1"/>
    <n v="99.5"/>
    <n v="97.1"/>
    <m/>
    <n v="97.6"/>
    <n v="98.066666666666663"/>
    <s v="B.E. ECE"/>
    <n v="5"/>
    <s v="Group A"/>
    <n v="15"/>
    <n v="11"/>
    <n v="35"/>
    <s v="Core"/>
    <n v="3"/>
    <s v="Faculty G"/>
    <s v="High Performance"/>
    <n v="0"/>
    <n v="0"/>
    <n v="1"/>
    <n v="11"/>
    <x v="1"/>
  </r>
  <r>
    <s v="STU015"/>
    <x v="7"/>
    <n v="38"/>
    <n v="29"/>
    <n v="86.842105263157904"/>
    <b v="1"/>
    <n v="79.099999999999994"/>
    <n v="90.3"/>
    <n v="79.8"/>
    <n v="88.9"/>
    <n v="84.525000000000006"/>
    <s v="B.E. ECE"/>
    <n v="5"/>
    <s v="Group A"/>
    <n v="18"/>
    <n v="7"/>
    <n v="39"/>
    <s v="Core"/>
    <n v="4"/>
    <s v="Faculty C"/>
    <s v="High Performance"/>
    <n v="0"/>
    <n v="0"/>
    <n v="0"/>
    <n v="7"/>
    <x v="1"/>
  </r>
  <r>
    <s v="STU015"/>
    <x v="4"/>
    <n v="38"/>
    <n v="33"/>
    <n v="68.421052631578945"/>
    <b v="1"/>
    <n v="65.400000000000006"/>
    <n v="81.400000000000006"/>
    <n v="54.4"/>
    <n v="77.5"/>
    <n v="69.675000000000011"/>
    <s v="B.E. ECE"/>
    <n v="5"/>
    <s v="Group A"/>
    <n v="20"/>
    <n v="12"/>
    <n v="81"/>
    <s v="Elective"/>
    <n v="3"/>
    <s v="Faculty F"/>
    <s v="Good"/>
    <n v="1"/>
    <n v="0"/>
    <n v="0"/>
    <n v="12"/>
    <x v="1"/>
  </r>
  <r>
    <s v="STU016"/>
    <x v="0"/>
    <n v="31"/>
    <n v="26"/>
    <n v="70.967741935483872"/>
    <b v="1"/>
    <n v="87.8"/>
    <n v="83.9"/>
    <n v="92.3"/>
    <n v="92.5"/>
    <n v="89.125"/>
    <s v="B.E. CSE"/>
    <n v="3"/>
    <s v="Group B"/>
    <n v="19"/>
    <n v="13"/>
    <n v="32"/>
    <s v="Core"/>
    <n v="4"/>
    <s v="Faculty A"/>
    <s v="High Performance"/>
    <n v="1"/>
    <n v="0"/>
    <n v="0"/>
    <n v="13"/>
    <x v="1"/>
  </r>
  <r>
    <s v="STU016"/>
    <x v="6"/>
    <n v="36"/>
    <n v="22"/>
    <n v="38.888888888888893"/>
    <b v="1"/>
    <n v="63.2"/>
    <n v="74.900000000000006"/>
    <n v="77.400000000000006"/>
    <n v="81"/>
    <n v="74.125"/>
    <s v="B.E. CSE"/>
    <n v="3"/>
    <s v="Group B"/>
    <n v="15"/>
    <n v="12"/>
    <n v="56"/>
    <s v="Core"/>
    <n v="3"/>
    <s v="Faculty B"/>
    <s v="Good"/>
    <n v="1"/>
    <n v="0"/>
    <n v="0"/>
    <n v="12"/>
    <x v="1"/>
  </r>
  <r>
    <s v="STU016"/>
    <x v="2"/>
    <n v="27"/>
    <n v="14"/>
    <n v="59.259259259259252"/>
    <b v="1"/>
    <n v="76.3"/>
    <n v="80.900000000000006"/>
    <n v="100"/>
    <n v="84.7"/>
    <n v="85.474999999999994"/>
    <s v="B.E. CSE"/>
    <n v="3"/>
    <s v="Group B"/>
    <n v="17"/>
    <n v="5"/>
    <n v="43"/>
    <s v="Core"/>
    <n v="3"/>
    <s v="Faculty D"/>
    <s v="High Performance"/>
    <n v="1"/>
    <n v="0"/>
    <n v="0"/>
    <n v="5"/>
    <x v="1"/>
  </r>
  <r>
    <s v="STU016"/>
    <x v="7"/>
    <n v="24"/>
    <n v="16"/>
    <n v="66.666666666666657"/>
    <b v="1"/>
    <n v="92.9"/>
    <n v="79.7"/>
    <n v="92.3"/>
    <n v="83.9"/>
    <n v="87.200000000000017"/>
    <s v="B.E. CSE"/>
    <n v="3"/>
    <s v="Group B"/>
    <n v="19"/>
    <n v="9"/>
    <n v="54"/>
    <s v="Core"/>
    <n v="4"/>
    <s v="Faculty C"/>
    <s v="High Performance"/>
    <n v="1"/>
    <n v="0"/>
    <n v="0"/>
    <n v="9"/>
    <x v="1"/>
  </r>
  <r>
    <s v="STU017"/>
    <x v="0"/>
    <n v="30"/>
    <n v="16"/>
    <n v="36.666666666666657"/>
    <b v="1"/>
    <m/>
    <n v="56.1"/>
    <n v="41"/>
    <n v="65.8"/>
    <n v="54.29999999999999"/>
    <s v="B.E. ECE"/>
    <n v="6"/>
    <s v="Group C"/>
    <n v="19"/>
    <n v="7"/>
    <n v="61"/>
    <s v="Core"/>
    <n v="4"/>
    <s v="Faculty A"/>
    <s v="Developing"/>
    <n v="1"/>
    <n v="0"/>
    <n v="1"/>
    <n v="7"/>
    <x v="0"/>
  </r>
  <r>
    <s v="STU017"/>
    <x v="2"/>
    <n v="24"/>
    <n v="11"/>
    <n v="79.166666666666657"/>
    <b v="1"/>
    <n v="41.6"/>
    <n v="52.1"/>
    <n v="75.2"/>
    <n v="53.8"/>
    <n v="55.674999999999997"/>
    <s v="B.E. ECE"/>
    <n v="6"/>
    <s v="Group C"/>
    <n v="11"/>
    <n v="7"/>
    <n v="44"/>
    <s v="Core"/>
    <n v="3"/>
    <s v="Faculty D"/>
    <s v="Developing"/>
    <n v="0"/>
    <n v="0"/>
    <n v="0"/>
    <n v="7"/>
    <x v="1"/>
  </r>
  <r>
    <s v="STU017"/>
    <x v="3"/>
    <n v="33"/>
    <n v="19"/>
    <n v="36.363636363636367"/>
    <b v="1"/>
    <n v="44.5"/>
    <n v="51.4"/>
    <n v="46.6"/>
    <n v="37.9"/>
    <n v="45.1"/>
    <s v="B.E. ECE"/>
    <n v="6"/>
    <s v="Group C"/>
    <n v="18"/>
    <n v="6"/>
    <n v="58"/>
    <s v="Core"/>
    <n v="3"/>
    <s v="Faculty G"/>
    <s v="Developing"/>
    <n v="1"/>
    <n v="0"/>
    <n v="0"/>
    <n v="6"/>
    <x v="0"/>
  </r>
  <r>
    <s v="STU017"/>
    <x v="7"/>
    <n v="25"/>
    <n v="12"/>
    <n v="48"/>
    <b v="1"/>
    <n v="34.700000000000003"/>
    <n v="39.4"/>
    <n v="73.099999999999994"/>
    <n v="52.9"/>
    <n v="50.024999999999999"/>
    <s v="B.E. ECE"/>
    <n v="6"/>
    <s v="Group C"/>
    <n v="20"/>
    <n v="7"/>
    <n v="54"/>
    <s v="Core"/>
    <n v="4"/>
    <s v="Faculty C"/>
    <s v="Developing"/>
    <n v="1"/>
    <n v="0"/>
    <n v="0"/>
    <n v="7"/>
    <x v="0"/>
  </r>
  <r>
    <s v="STU017"/>
    <x v="4"/>
    <n v="36"/>
    <n v="12"/>
    <n v="88.888888888888886"/>
    <b v="1"/>
    <m/>
    <n v="56.9"/>
    <n v="37.5"/>
    <n v="45.4"/>
    <n v="46.6"/>
    <s v="B.E. ECE"/>
    <n v="6"/>
    <s v="Group C"/>
    <n v="18"/>
    <n v="6"/>
    <n v="52"/>
    <s v="Elective"/>
    <n v="3"/>
    <s v="Faculty F"/>
    <s v="Developing"/>
    <n v="0"/>
    <n v="0"/>
    <n v="1"/>
    <n v="6"/>
    <x v="1"/>
  </r>
  <r>
    <s v="STU018"/>
    <x v="0"/>
    <n v="34"/>
    <n v="32"/>
    <n v="44.117647058823529"/>
    <b v="1"/>
    <n v="61.8"/>
    <n v="80.3"/>
    <n v="66.099999999999994"/>
    <n v="76.400000000000006"/>
    <n v="71.150000000000006"/>
    <s v="B.E. CSE"/>
    <n v="4"/>
    <s v="Group A"/>
    <n v="11"/>
    <n v="9"/>
    <n v="46"/>
    <s v="Core"/>
    <n v="4"/>
    <s v="Faculty A"/>
    <s v="Good"/>
    <n v="1"/>
    <n v="0"/>
    <n v="0"/>
    <n v="9"/>
    <x v="1"/>
  </r>
  <r>
    <s v="STU018"/>
    <x v="1"/>
    <n v="31"/>
    <n v="15"/>
    <n v="67.741935483870961"/>
    <b v="1"/>
    <n v="52"/>
    <n v="52.3"/>
    <n v="40"/>
    <n v="66.3"/>
    <n v="52.650000000000013"/>
    <s v="B.E. CSE"/>
    <n v="4"/>
    <s v="Group A"/>
    <m/>
    <n v="7"/>
    <m/>
    <s v="Practical"/>
    <n v="2"/>
    <s v="Faculty A"/>
    <s v="Developing"/>
    <n v="1"/>
    <n v="1"/>
    <n v="0"/>
    <n v="7"/>
    <x v="0"/>
  </r>
  <r>
    <s v="STU018"/>
    <x v="2"/>
    <n v="30"/>
    <n v="21"/>
    <n v="36.666666666666657"/>
    <b v="1"/>
    <n v="36.200000000000003"/>
    <n v="69.5"/>
    <n v="74.099999999999994"/>
    <n v="54.7"/>
    <n v="58.625"/>
    <s v="B.E. CSE"/>
    <n v="4"/>
    <s v="Group A"/>
    <n v="16"/>
    <n v="7"/>
    <n v="43"/>
    <s v="Core"/>
    <n v="3"/>
    <s v="Faculty D"/>
    <s v="Developing"/>
    <n v="1"/>
    <n v="0"/>
    <n v="0"/>
    <n v="7"/>
    <x v="0"/>
  </r>
  <r>
    <s v="STU018"/>
    <x v="3"/>
    <n v="40"/>
    <n v="11"/>
    <n v="67.5"/>
    <b v="1"/>
    <n v="77.400000000000006"/>
    <n v="76.599999999999994"/>
    <n v="42.8"/>
    <n v="81"/>
    <n v="69.45"/>
    <s v="B.E. CSE"/>
    <n v="4"/>
    <s v="Group A"/>
    <n v="15"/>
    <n v="10"/>
    <n v="48"/>
    <s v="Core"/>
    <n v="3"/>
    <s v="Faculty G"/>
    <s v="Good"/>
    <n v="1"/>
    <n v="0"/>
    <n v="0"/>
    <n v="10"/>
    <x v="1"/>
  </r>
  <r>
    <s v="STU019"/>
    <x v="0"/>
    <n v="27"/>
    <n v="27"/>
    <n v="62.962962962962962"/>
    <b v="1"/>
    <n v="73.400000000000006"/>
    <n v="71.5"/>
    <n v="82.1"/>
    <n v="87.7"/>
    <n v="78.674999999999997"/>
    <s v="B.Tech IT"/>
    <n v="5"/>
    <s v="Group A"/>
    <n v="21"/>
    <n v="12"/>
    <n v="71"/>
    <s v="Core"/>
    <n v="4"/>
    <s v="Faculty A"/>
    <s v="High Performance"/>
    <n v="1"/>
    <n v="0"/>
    <n v="0"/>
    <n v="12"/>
    <x v="1"/>
  </r>
  <r>
    <s v="STU019"/>
    <x v="6"/>
    <n v="30"/>
    <n v="17"/>
    <n v="40"/>
    <b v="1"/>
    <n v="79.8"/>
    <n v="86.6"/>
    <n v="58.5"/>
    <n v="85.8"/>
    <n v="77.674999999999997"/>
    <s v="B.Tech IT"/>
    <n v="5"/>
    <s v="Group A"/>
    <n v="27"/>
    <n v="11"/>
    <n v="70"/>
    <s v="Core"/>
    <n v="3"/>
    <s v="Faculty B"/>
    <s v="High Performance"/>
    <n v="1"/>
    <n v="0"/>
    <n v="0"/>
    <n v="11"/>
    <x v="1"/>
  </r>
  <r>
    <s v="STU019"/>
    <x v="1"/>
    <n v="26"/>
    <n v="12"/>
    <n v="76.923076923076934"/>
    <b v="1"/>
    <n v="76.5"/>
    <n v="82.3"/>
    <n v="95.4"/>
    <n v="76.900000000000006"/>
    <n v="82.775000000000006"/>
    <s v="B.Tech IT"/>
    <n v="5"/>
    <s v="Group A"/>
    <n v="21"/>
    <n v="6"/>
    <n v="69"/>
    <s v="Practical"/>
    <n v="2"/>
    <s v="Faculty A"/>
    <s v="High Performance"/>
    <n v="0"/>
    <n v="0"/>
    <n v="0"/>
    <n v="6"/>
    <x v="1"/>
  </r>
  <r>
    <s v="STU019"/>
    <x v="3"/>
    <n v="26"/>
    <n v="20"/>
    <n v="38.461538461538467"/>
    <b v="1"/>
    <n v="87.2"/>
    <n v="80.599999999999994"/>
    <n v="41.4"/>
    <n v="76.2"/>
    <n v="71.350000000000009"/>
    <s v="B.Tech IT"/>
    <n v="5"/>
    <s v="Group A"/>
    <n v="23"/>
    <n v="4"/>
    <n v="58"/>
    <s v="Core"/>
    <n v="3"/>
    <s v="Faculty G"/>
    <s v="Good"/>
    <n v="1"/>
    <n v="0"/>
    <n v="0"/>
    <n v="4"/>
    <x v="1"/>
  </r>
  <r>
    <s v="STU019"/>
    <x v="7"/>
    <n v="38"/>
    <n v="10"/>
    <n v="71.05263157894737"/>
    <b v="1"/>
    <n v="72.2"/>
    <n v="71"/>
    <n v="92.6"/>
    <n v="82.2"/>
    <n v="79.5"/>
    <s v="B.Tech IT"/>
    <n v="5"/>
    <s v="Group A"/>
    <n v="18"/>
    <n v="12"/>
    <n v="33"/>
    <s v="Core"/>
    <n v="4"/>
    <s v="Faculty C"/>
    <s v="High Performance"/>
    <n v="1"/>
    <n v="0"/>
    <n v="0"/>
    <n v="12"/>
    <x v="1"/>
  </r>
  <r>
    <s v="STU019"/>
    <x v="4"/>
    <n v="35"/>
    <n v="27"/>
    <n v="62.857142857142847"/>
    <b v="1"/>
    <n v="67.5"/>
    <n v="77.900000000000006"/>
    <n v="40.4"/>
    <n v="65.5"/>
    <n v="62.825000000000003"/>
    <s v="B.Tech IT"/>
    <n v="5"/>
    <s v="Group A"/>
    <n v="12"/>
    <n v="7"/>
    <n v="42"/>
    <s v="Elective"/>
    <n v="3"/>
    <s v="Faculty F"/>
    <s v="Good"/>
    <n v="1"/>
    <n v="0"/>
    <n v="0"/>
    <n v="7"/>
    <x v="1"/>
  </r>
  <r>
    <s v="STU020"/>
    <x v="0"/>
    <n v="24"/>
    <n v="22"/>
    <n v="70.833333333333343"/>
    <b v="1"/>
    <n v="37.5"/>
    <n v="60.3"/>
    <n v="65"/>
    <n v="46.7"/>
    <n v="52.375"/>
    <s v="B.Tech IT"/>
    <n v="3"/>
    <s v="Group B"/>
    <n v="12"/>
    <n v="10"/>
    <n v="44"/>
    <s v="Core"/>
    <n v="4"/>
    <s v="Faculty A"/>
    <s v="Developing"/>
    <n v="1"/>
    <n v="0"/>
    <n v="0"/>
    <n v="10"/>
    <x v="0"/>
  </r>
  <r>
    <s v="STU020"/>
    <x v="2"/>
    <n v="27"/>
    <n v="17"/>
    <n v="85.18518518518519"/>
    <b v="1"/>
    <n v="65.400000000000006"/>
    <n v="89.6"/>
    <n v="52.5"/>
    <n v="57.3"/>
    <n v="66.2"/>
    <s v="B.Tech IT"/>
    <n v="3"/>
    <s v="Group B"/>
    <n v="21"/>
    <n v="9"/>
    <n v="53"/>
    <s v="Core"/>
    <n v="3"/>
    <s v="Faculty D"/>
    <s v="Good"/>
    <n v="0"/>
    <n v="0"/>
    <n v="0"/>
    <n v="9"/>
    <x v="1"/>
  </r>
  <r>
    <s v="STU020"/>
    <x v="3"/>
    <n v="39"/>
    <n v="23"/>
    <n v="69.230769230769226"/>
    <b v="1"/>
    <n v="70.3"/>
    <n v="65.900000000000006"/>
    <n v="55.6"/>
    <n v="68"/>
    <n v="64.949999999999989"/>
    <s v="B.Tech IT"/>
    <n v="3"/>
    <s v="Group B"/>
    <n v="16"/>
    <n v="7"/>
    <n v="57"/>
    <s v="Core"/>
    <n v="3"/>
    <s v="Faculty G"/>
    <s v="Good"/>
    <n v="1"/>
    <n v="0"/>
    <n v="0"/>
    <n v="7"/>
    <x v="1"/>
  </r>
  <r>
    <s v="STU020"/>
    <x v="5"/>
    <n v="37"/>
    <n v="27"/>
    <n v="45.945945945945951"/>
    <b v="1"/>
    <n v="70.599999999999994"/>
    <n v="64.3"/>
    <n v="77.5"/>
    <n v="72.7"/>
    <n v="71.274999999999991"/>
    <s v="B.Tech IT"/>
    <n v="3"/>
    <s v="Group B"/>
    <n v="14"/>
    <n v="9"/>
    <n v="34"/>
    <s v="Foundation"/>
    <n v="4"/>
    <s v="Faculty E"/>
    <s v="Good"/>
    <n v="1"/>
    <n v="0"/>
    <n v="0"/>
    <n v="9"/>
    <x v="1"/>
  </r>
  <r>
    <s v="STU021"/>
    <x v="6"/>
    <n v="33"/>
    <n v="17"/>
    <n v="69.696969696969703"/>
    <b v="1"/>
    <n v="41.1"/>
    <n v="32.9"/>
    <n v="25.6"/>
    <n v="57.3"/>
    <n v="39.225000000000001"/>
    <s v="B.Tech IT"/>
    <n v="4"/>
    <s v="Group A"/>
    <n v="14"/>
    <n v="8"/>
    <n v="28"/>
    <s v="Core"/>
    <n v="3"/>
    <s v="Faculty B"/>
    <s v="Needs Support"/>
    <n v="1"/>
    <n v="0"/>
    <n v="0"/>
    <n v="8"/>
    <x v="0"/>
  </r>
  <r>
    <s v="STU021"/>
    <x v="1"/>
    <n v="40"/>
    <n v="23"/>
    <n v="72.5"/>
    <b v="1"/>
    <n v="60.2"/>
    <n v="38.5"/>
    <n v="58.3"/>
    <n v="59.3"/>
    <n v="54.075000000000003"/>
    <s v="B.Tech IT"/>
    <n v="4"/>
    <s v="Group A"/>
    <n v="9"/>
    <n v="7"/>
    <n v="39"/>
    <s v="Practical"/>
    <n v="2"/>
    <s v="Faculty A"/>
    <s v="Developing"/>
    <n v="1"/>
    <n v="0"/>
    <n v="0"/>
    <n v="7"/>
    <x v="0"/>
  </r>
  <r>
    <s v="STU021"/>
    <x v="3"/>
    <n v="29"/>
    <n v="29"/>
    <n v="55.172413793103438"/>
    <b v="1"/>
    <n v="61.6"/>
    <n v="61.2"/>
    <n v="1.8"/>
    <n v="48.1"/>
    <n v="43.174999999999997"/>
    <s v="B.Tech IT"/>
    <n v="4"/>
    <s v="Group A"/>
    <n v="15"/>
    <n v="4"/>
    <n v="48"/>
    <s v="Core"/>
    <n v="3"/>
    <s v="Faculty G"/>
    <s v="Developing"/>
    <n v="1"/>
    <n v="0"/>
    <n v="0"/>
    <n v="4"/>
    <x v="0"/>
  </r>
  <r>
    <s v="STU021"/>
    <x v="4"/>
    <n v="28"/>
    <n v="16"/>
    <n v="60.714285714285708"/>
    <b v="1"/>
    <n v="48.5"/>
    <n v="32.5"/>
    <n v="56.1"/>
    <n v="45.6"/>
    <n v="45.674999999999997"/>
    <s v="B.Tech IT"/>
    <n v="4"/>
    <s v="Group A"/>
    <n v="15"/>
    <n v="7"/>
    <n v="42"/>
    <s v="Elective"/>
    <n v="3"/>
    <s v="Faculty F"/>
    <s v="Developing"/>
    <n v="1"/>
    <n v="0"/>
    <n v="0"/>
    <n v="7"/>
    <x v="0"/>
  </r>
  <r>
    <s v="STU022"/>
    <x v="6"/>
    <n v="34"/>
    <n v="17"/>
    <n v="47.058823529411761"/>
    <b v="1"/>
    <n v="96.8"/>
    <n v="76.8"/>
    <n v="100"/>
    <n v="96.3"/>
    <n v="92.474999999999994"/>
    <s v="B.E. CSE"/>
    <n v="4"/>
    <s v="Group C"/>
    <n v="22"/>
    <n v="9"/>
    <n v="58"/>
    <s v="Core"/>
    <n v="3"/>
    <s v="Faculty B"/>
    <s v="High Performance"/>
    <n v="1"/>
    <n v="0"/>
    <n v="0"/>
    <n v="9"/>
    <x v="1"/>
  </r>
  <r>
    <s v="STU022"/>
    <x v="1"/>
    <n v="33"/>
    <n v="16"/>
    <n v="54.54545454545454"/>
    <b v="1"/>
    <n v="50.1"/>
    <n v="77.099999999999994"/>
    <n v="66.5"/>
    <n v="72.7"/>
    <n v="66.599999999999994"/>
    <s v="B.E. CSE"/>
    <n v="4"/>
    <s v="Group C"/>
    <n v="3"/>
    <n v="7"/>
    <n v="35"/>
    <s v="Practical"/>
    <n v="2"/>
    <s v="Faculty A"/>
    <s v="Good"/>
    <n v="1"/>
    <n v="1"/>
    <n v="0"/>
    <n v="7"/>
    <x v="1"/>
  </r>
  <r>
    <s v="STU022"/>
    <x v="2"/>
    <n v="31"/>
    <n v="18"/>
    <n v="61.29032258064516"/>
    <b v="1"/>
    <n v="75.3"/>
    <n v="77.599999999999994"/>
    <n v="95.1"/>
    <n v="82.6"/>
    <n v="82.649999999999991"/>
    <s v="B.E. CSE"/>
    <n v="4"/>
    <s v="Group C"/>
    <n v="30"/>
    <n v="9"/>
    <n v="90"/>
    <s v="Core"/>
    <n v="3"/>
    <s v="Faculty D"/>
    <s v="High Performance"/>
    <n v="1"/>
    <n v="0"/>
    <n v="0"/>
    <n v="9"/>
    <x v="1"/>
  </r>
  <r>
    <s v="STU022"/>
    <x v="3"/>
    <n v="26"/>
    <n v="19"/>
    <n v="73.076923076923066"/>
    <b v="1"/>
    <n v="83.2"/>
    <n v="76.900000000000006"/>
    <n v="90.6"/>
    <m/>
    <n v="83.566666666666677"/>
    <s v="B.E. CSE"/>
    <n v="4"/>
    <s v="Group C"/>
    <n v="22"/>
    <n v="11"/>
    <n v="57"/>
    <s v="Core"/>
    <n v="3"/>
    <s v="Faculty G"/>
    <s v="High Performance"/>
    <n v="1"/>
    <n v="0"/>
    <n v="1"/>
    <n v="11"/>
    <x v="1"/>
  </r>
  <r>
    <s v="STU022"/>
    <x v="4"/>
    <n v="31"/>
    <n v="19"/>
    <n v="80.645161290322577"/>
    <b v="1"/>
    <n v="60.2"/>
    <n v="80"/>
    <n v="82.2"/>
    <n v="77.8"/>
    <n v="75.05"/>
    <s v="B.E. CSE"/>
    <n v="4"/>
    <s v="Group C"/>
    <n v="13"/>
    <n v="7"/>
    <n v="31"/>
    <s v="Elective"/>
    <n v="3"/>
    <s v="Faculty F"/>
    <s v="High Performance"/>
    <n v="0"/>
    <n v="0"/>
    <n v="0"/>
    <n v="7"/>
    <x v="1"/>
  </r>
  <r>
    <s v="STU022"/>
    <x v="5"/>
    <n v="39"/>
    <n v="25"/>
    <n v="71.794871794871796"/>
    <b v="1"/>
    <n v="84.3"/>
    <n v="70.599999999999994"/>
    <n v="69.099999999999994"/>
    <n v="95"/>
    <n v="79.75"/>
    <s v="B.E. CSE"/>
    <n v="4"/>
    <s v="Group C"/>
    <n v="26"/>
    <n v="9"/>
    <n v="61"/>
    <s v="Foundation"/>
    <n v="4"/>
    <s v="Faculty E"/>
    <s v="High Performance"/>
    <n v="1"/>
    <n v="0"/>
    <n v="0"/>
    <n v="9"/>
    <x v="1"/>
  </r>
  <r>
    <s v="STU023"/>
    <x v="0"/>
    <n v="39"/>
    <n v="28"/>
    <n v="51.282051282051277"/>
    <b v="1"/>
    <n v="35"/>
    <n v="53.6"/>
    <n v="74.400000000000006"/>
    <n v="63.6"/>
    <n v="56.65"/>
    <s v="B.E. EEE"/>
    <n v="6"/>
    <s v="Group A"/>
    <n v="18"/>
    <n v="8"/>
    <n v="55"/>
    <s v="Core"/>
    <n v="4"/>
    <s v="Faculty A"/>
    <s v="Developing"/>
    <n v="1"/>
    <n v="0"/>
    <n v="0"/>
    <n v="8"/>
    <x v="0"/>
  </r>
  <r>
    <s v="STU023"/>
    <x v="6"/>
    <n v="27"/>
    <n v="20"/>
    <n v="51.851851851851848"/>
    <b v="1"/>
    <n v="19.2"/>
    <n v="49.1"/>
    <n v="70.5"/>
    <n v="52.7"/>
    <n v="47.875"/>
    <s v="B.E. EEE"/>
    <n v="6"/>
    <s v="Group A"/>
    <n v="15"/>
    <n v="9"/>
    <n v="55"/>
    <s v="Core"/>
    <n v="3"/>
    <s v="Faculty B"/>
    <s v="Developing"/>
    <n v="1"/>
    <n v="0"/>
    <n v="0"/>
    <n v="9"/>
    <x v="0"/>
  </r>
  <r>
    <s v="STU023"/>
    <x v="3"/>
    <n v="26"/>
    <n v="14"/>
    <n v="42.307692307692307"/>
    <b v="1"/>
    <n v="29.9"/>
    <n v="54.7"/>
    <n v="46.9"/>
    <n v="47.9"/>
    <n v="44.85"/>
    <s v="B.E. EEE"/>
    <n v="6"/>
    <s v="Group A"/>
    <n v="14"/>
    <n v="6"/>
    <n v="36"/>
    <s v="Core"/>
    <n v="3"/>
    <s v="Faculty G"/>
    <s v="Developing"/>
    <n v="1"/>
    <n v="0"/>
    <n v="0"/>
    <n v="6"/>
    <x v="0"/>
  </r>
  <r>
    <s v="STU023"/>
    <x v="7"/>
    <n v="36"/>
    <n v="11"/>
    <n v="50"/>
    <b v="1"/>
    <n v="40.4"/>
    <n v="30"/>
    <n v="44.5"/>
    <n v="32.9"/>
    <n v="36.950000000000003"/>
    <s v="B.E. EEE"/>
    <n v="6"/>
    <s v="Group A"/>
    <n v="12"/>
    <n v="6"/>
    <n v="54"/>
    <s v="Core"/>
    <n v="4"/>
    <s v="Faculty C"/>
    <s v="Needs Support"/>
    <n v="1"/>
    <n v="0"/>
    <n v="0"/>
    <n v="6"/>
    <x v="0"/>
  </r>
  <r>
    <s v="STU023"/>
    <x v="4"/>
    <n v="26"/>
    <n v="18"/>
    <n v="26.92307692307692"/>
    <b v="1"/>
    <n v="36.1"/>
    <n v="31.5"/>
    <n v="50"/>
    <n v="37.799999999999997"/>
    <n v="38.85"/>
    <s v="B.E. EEE"/>
    <n v="6"/>
    <s v="Group A"/>
    <n v="4"/>
    <n v="5"/>
    <n v="2"/>
    <s v="Elective"/>
    <n v="3"/>
    <s v="Faculty F"/>
    <s v="Needs Support"/>
    <n v="1"/>
    <n v="1"/>
    <n v="0"/>
    <n v="5"/>
    <x v="0"/>
  </r>
  <r>
    <s v="STU024"/>
    <x v="1"/>
    <n v="33"/>
    <n v="7"/>
    <n v="72.727272727272734"/>
    <b v="1"/>
    <n v="54.3"/>
    <n v="56.8"/>
    <n v="56.8"/>
    <n v="60.9"/>
    <n v="57.2"/>
    <s v="B.E. EEE"/>
    <n v="5"/>
    <s v="Group A"/>
    <n v="11"/>
    <n v="6"/>
    <n v="40"/>
    <s v="Practical"/>
    <n v="2"/>
    <s v="Faculty A"/>
    <s v="Developing"/>
    <n v="1"/>
    <n v="0"/>
    <n v="0"/>
    <n v="6"/>
    <x v="0"/>
  </r>
  <r>
    <s v="STU024"/>
    <x v="2"/>
    <n v="34"/>
    <n v="24"/>
    <n v="67.64705882352942"/>
    <b v="1"/>
    <n v="45.4"/>
    <n v="53.3"/>
    <n v="47"/>
    <n v="48.7"/>
    <n v="48.6"/>
    <s v="B.E. EEE"/>
    <n v="5"/>
    <s v="Group A"/>
    <n v="15"/>
    <n v="7"/>
    <n v="54"/>
    <s v="Core"/>
    <n v="3"/>
    <s v="Faculty D"/>
    <s v="Developing"/>
    <n v="1"/>
    <n v="0"/>
    <n v="0"/>
    <n v="7"/>
    <x v="0"/>
  </r>
  <r>
    <s v="STU024"/>
    <x v="3"/>
    <n v="29"/>
    <n v="23"/>
    <n v="72.41379310344827"/>
    <b v="1"/>
    <n v="56.5"/>
    <n v="67.599999999999994"/>
    <n v="47.8"/>
    <n v="57.9"/>
    <n v="57.45"/>
    <s v="B.E. EEE"/>
    <n v="5"/>
    <s v="Group A"/>
    <n v="13"/>
    <n v="7"/>
    <n v="33"/>
    <s v="Core"/>
    <n v="3"/>
    <s v="Faculty G"/>
    <s v="Developing"/>
    <n v="1"/>
    <n v="0"/>
    <n v="0"/>
    <n v="7"/>
    <x v="0"/>
  </r>
  <r>
    <s v="STU024"/>
    <x v="7"/>
    <n v="28"/>
    <n v="21"/>
    <n v="75"/>
    <b v="1"/>
    <n v="55"/>
    <n v="67.8"/>
    <n v="46.7"/>
    <n v="62.8"/>
    <n v="58.075000000000003"/>
    <s v="B.E. EEE"/>
    <n v="5"/>
    <s v="Group A"/>
    <n v="15"/>
    <n v="8"/>
    <n v="32"/>
    <s v="Core"/>
    <n v="4"/>
    <s v="Faculty C"/>
    <s v="Developing"/>
    <n v="0"/>
    <n v="0"/>
    <n v="0"/>
    <n v="8"/>
    <x v="1"/>
  </r>
  <r>
    <s v="STU024"/>
    <x v="4"/>
    <n v="32"/>
    <n v="21"/>
    <n v="81.25"/>
    <b v="1"/>
    <n v="70.7"/>
    <n v="68"/>
    <n v="57.2"/>
    <n v="79.900000000000006"/>
    <n v="68.949999999999989"/>
    <s v="B.E. EEE"/>
    <n v="5"/>
    <s v="Group A"/>
    <n v="18"/>
    <n v="5"/>
    <n v="45"/>
    <s v="Elective"/>
    <n v="3"/>
    <s v="Faculty F"/>
    <s v="Good"/>
    <n v="0"/>
    <n v="0"/>
    <n v="0"/>
    <n v="5"/>
    <x v="1"/>
  </r>
  <r>
    <s v="STU024"/>
    <x v="5"/>
    <n v="31"/>
    <n v="26"/>
    <n v="67.741935483870961"/>
    <b v="1"/>
    <n v="75.3"/>
    <n v="56.9"/>
    <n v="89.6"/>
    <n v="61.9"/>
    <n v="70.924999999999997"/>
    <s v="B.E. EEE"/>
    <n v="5"/>
    <s v="Group A"/>
    <n v="22"/>
    <n v="5"/>
    <n v="51"/>
    <s v="Foundation"/>
    <n v="4"/>
    <s v="Faculty E"/>
    <s v="Good"/>
    <n v="1"/>
    <n v="0"/>
    <n v="0"/>
    <n v="5"/>
    <x v="1"/>
  </r>
  <r>
    <s v="STU025"/>
    <x v="0"/>
    <n v="38"/>
    <n v="21"/>
    <n v="65.789473684210535"/>
    <b v="1"/>
    <n v="23.8"/>
    <n v="42.7"/>
    <n v="57.9"/>
    <n v="52.4"/>
    <n v="44.2"/>
    <s v="B.Tech IT"/>
    <n v="4"/>
    <s v="Group C"/>
    <n v="17"/>
    <n v="7"/>
    <n v="47"/>
    <s v="Core"/>
    <n v="4"/>
    <s v="Faculty A"/>
    <s v="Developing"/>
    <n v="1"/>
    <n v="0"/>
    <n v="0"/>
    <n v="7"/>
    <x v="0"/>
  </r>
  <r>
    <s v="STU025"/>
    <x v="6"/>
    <n v="28"/>
    <n v="25"/>
    <n v="57.142857142857139"/>
    <b v="1"/>
    <n v="43.9"/>
    <n v="51.5"/>
    <n v="35.5"/>
    <n v="51.9"/>
    <n v="45.7"/>
    <s v="B.Tech IT"/>
    <n v="4"/>
    <s v="Group C"/>
    <n v="3"/>
    <n v="10"/>
    <n v="29"/>
    <s v="Core"/>
    <n v="3"/>
    <s v="Faculty B"/>
    <s v="Developing"/>
    <n v="1"/>
    <n v="1"/>
    <n v="0"/>
    <n v="10"/>
    <x v="0"/>
  </r>
  <r>
    <s v="STU025"/>
    <x v="4"/>
    <n v="36"/>
    <n v="16"/>
    <n v="50"/>
    <b v="1"/>
    <n v="35.4"/>
    <n v="40.4"/>
    <n v="33.4"/>
    <n v="40"/>
    <n v="37.299999999999997"/>
    <s v="B.Tech IT"/>
    <n v="4"/>
    <s v="Group C"/>
    <n v="22"/>
    <n v="5"/>
    <n v="59"/>
    <s v="Elective"/>
    <n v="3"/>
    <s v="Faculty F"/>
    <s v="Needs Support"/>
    <n v="1"/>
    <n v="0"/>
    <n v="0"/>
    <n v="5"/>
    <x v="0"/>
  </r>
  <r>
    <s v="STU025"/>
    <x v="5"/>
    <n v="34"/>
    <n v="18"/>
    <n v="47.058823529411761"/>
    <b v="1"/>
    <n v="35.299999999999997"/>
    <n v="32.5"/>
    <n v="39.799999999999997"/>
    <n v="67.5"/>
    <n v="43.774999999999999"/>
    <s v="B.Tech IT"/>
    <n v="4"/>
    <s v="Group C"/>
    <n v="5"/>
    <n v="8"/>
    <n v="22"/>
    <s v="Foundation"/>
    <n v="4"/>
    <s v="Faculty E"/>
    <s v="Developing"/>
    <n v="1"/>
    <n v="0"/>
    <n v="0"/>
    <n v="8"/>
    <x v="0"/>
  </r>
  <r>
    <s v="STU026"/>
    <x v="0"/>
    <n v="39"/>
    <n v="16"/>
    <n v="69.230769230769226"/>
    <b v="1"/>
    <n v="92.5"/>
    <n v="81.599999999999994"/>
    <n v="66.7"/>
    <n v="80.900000000000006"/>
    <n v="80.425000000000011"/>
    <s v="B.E. CSE"/>
    <n v="4"/>
    <s v="Group A"/>
    <n v="25"/>
    <n v="11"/>
    <n v="62"/>
    <s v="Core"/>
    <n v="4"/>
    <s v="Faculty A"/>
    <s v="High Performance"/>
    <n v="1"/>
    <n v="0"/>
    <n v="0"/>
    <n v="11"/>
    <x v="1"/>
  </r>
  <r>
    <s v="STU026"/>
    <x v="6"/>
    <n v="32"/>
    <n v="27"/>
    <n v="84.375"/>
    <b v="1"/>
    <n v="78.2"/>
    <n v="80.599999999999994"/>
    <n v="77.5"/>
    <n v="76.2"/>
    <n v="78.125"/>
    <s v="B.E. CSE"/>
    <n v="4"/>
    <s v="Group A"/>
    <n v="20"/>
    <n v="6"/>
    <n v="57"/>
    <s v="Core"/>
    <n v="3"/>
    <s v="Faculty B"/>
    <s v="High Performance"/>
    <n v="0"/>
    <n v="0"/>
    <n v="0"/>
    <n v="6"/>
    <x v="1"/>
  </r>
  <r>
    <s v="STU026"/>
    <x v="2"/>
    <n v="26"/>
    <n v="27"/>
    <n v="46.153846153846153"/>
    <b v="1"/>
    <n v="84"/>
    <n v="86.8"/>
    <n v="61.3"/>
    <n v="95.4"/>
    <n v="81.875"/>
    <s v="B.E. CSE"/>
    <n v="4"/>
    <s v="Group A"/>
    <n v="5"/>
    <n v="11"/>
    <n v="16"/>
    <s v="Core"/>
    <n v="3"/>
    <s v="Faculty D"/>
    <s v="High Performance"/>
    <n v="1"/>
    <n v="0"/>
    <n v="0"/>
    <n v="11"/>
    <x v="1"/>
  </r>
  <r>
    <s v="STU026"/>
    <x v="3"/>
    <n v="28"/>
    <n v="12"/>
    <n v="50"/>
    <b v="1"/>
    <n v="59.8"/>
    <n v="93.5"/>
    <n v="80.8"/>
    <n v="100"/>
    <n v="83.525000000000006"/>
    <s v="B.E. CSE"/>
    <n v="4"/>
    <s v="Group A"/>
    <n v="12"/>
    <n v="9"/>
    <n v="58"/>
    <s v="Core"/>
    <n v="3"/>
    <s v="Faculty G"/>
    <s v="High Performance"/>
    <n v="1"/>
    <n v="0"/>
    <n v="0"/>
    <n v="9"/>
    <x v="1"/>
  </r>
  <r>
    <s v="STU026"/>
    <x v="4"/>
    <n v="37"/>
    <n v="14"/>
    <n v="64.86486486486487"/>
    <b v="1"/>
    <n v="82.8"/>
    <n v="79.599999999999994"/>
    <n v="58.8"/>
    <n v="75.400000000000006"/>
    <n v="74.150000000000006"/>
    <s v="B.E. CSE"/>
    <n v="4"/>
    <s v="Group A"/>
    <n v="11"/>
    <n v="8"/>
    <n v="35"/>
    <s v="Elective"/>
    <n v="3"/>
    <s v="Faculty F"/>
    <s v="Good"/>
    <n v="1"/>
    <n v="0"/>
    <n v="0"/>
    <n v="8"/>
    <x v="1"/>
  </r>
  <r>
    <s v="STU027"/>
    <x v="0"/>
    <n v="37"/>
    <n v="24"/>
    <n v="45.945945945945951"/>
    <b v="1"/>
    <n v="68.5"/>
    <n v="82.1"/>
    <n v="82"/>
    <n v="68.099999999999994"/>
    <n v="75.174999999999997"/>
    <s v="B.E. ECE"/>
    <n v="4"/>
    <s v="Group A"/>
    <n v="19"/>
    <n v="13"/>
    <n v="50"/>
    <s v="Core"/>
    <n v="4"/>
    <s v="Faculty A"/>
    <s v="High Performance"/>
    <n v="1"/>
    <n v="0"/>
    <n v="0"/>
    <n v="13"/>
    <x v="1"/>
  </r>
  <r>
    <s v="STU027"/>
    <x v="2"/>
    <n v="28"/>
    <n v="17"/>
    <n v="71.428571428571431"/>
    <b v="1"/>
    <n v="84.1"/>
    <n v="85.3"/>
    <n v="52.2"/>
    <n v="98.9"/>
    <n v="80.125"/>
    <s v="B.E. ECE"/>
    <n v="4"/>
    <s v="Group A"/>
    <n v="19"/>
    <n v="8"/>
    <n v="55"/>
    <s v="Core"/>
    <n v="3"/>
    <s v="Faculty D"/>
    <s v="High Performance"/>
    <n v="1"/>
    <n v="0"/>
    <n v="0"/>
    <n v="8"/>
    <x v="1"/>
  </r>
  <r>
    <s v="STU027"/>
    <x v="3"/>
    <n v="35"/>
    <n v="20"/>
    <n v="62.857142857142847"/>
    <b v="1"/>
    <n v="67.900000000000006"/>
    <n v="99.5"/>
    <n v="62.4"/>
    <n v="85"/>
    <n v="78.7"/>
    <s v="B.E. ECE"/>
    <n v="4"/>
    <s v="Group A"/>
    <n v="28"/>
    <n v="12"/>
    <n v="71"/>
    <s v="Core"/>
    <n v="3"/>
    <s v="Faculty G"/>
    <s v="High Performance"/>
    <n v="1"/>
    <n v="0"/>
    <n v="0"/>
    <n v="12"/>
    <x v="1"/>
  </r>
  <r>
    <s v="STU027"/>
    <x v="7"/>
    <n v="24"/>
    <n v="22"/>
    <n v="66.666666666666657"/>
    <b v="1"/>
    <n v="78.900000000000006"/>
    <n v="74.599999999999994"/>
    <n v="64"/>
    <n v="87.5"/>
    <n v="76.25"/>
    <s v="B.E. ECE"/>
    <n v="4"/>
    <s v="Group A"/>
    <n v="13"/>
    <n v="10"/>
    <n v="39"/>
    <s v="Core"/>
    <n v="4"/>
    <s v="Faculty C"/>
    <s v="High Performance"/>
    <n v="1"/>
    <n v="0"/>
    <n v="0"/>
    <n v="10"/>
    <x v="1"/>
  </r>
  <r>
    <s v="STU028"/>
    <x v="0"/>
    <n v="26"/>
    <n v="16"/>
    <n v="57.692307692307693"/>
    <b v="1"/>
    <n v="28.8"/>
    <n v="52.5"/>
    <n v="55.6"/>
    <n v="57.6"/>
    <n v="48.625"/>
    <s v="B.E. CSE"/>
    <n v="5"/>
    <s v="Group A"/>
    <n v="9"/>
    <n v="9"/>
    <n v="45"/>
    <s v="Core"/>
    <n v="4"/>
    <s v="Faculty A"/>
    <s v="Developing"/>
    <n v="1"/>
    <n v="0"/>
    <n v="0"/>
    <n v="9"/>
    <x v="0"/>
  </r>
  <r>
    <s v="STU028"/>
    <x v="1"/>
    <n v="32"/>
    <n v="15"/>
    <n v="40.625"/>
    <b v="1"/>
    <n v="61.2"/>
    <n v="41.5"/>
    <n v="45.5"/>
    <n v="49.8"/>
    <n v="49.5"/>
    <s v="B.E. CSE"/>
    <n v="5"/>
    <s v="Group A"/>
    <n v="15"/>
    <n v="7"/>
    <n v="60"/>
    <s v="Practical"/>
    <n v="2"/>
    <s v="Faculty A"/>
    <s v="Developing"/>
    <n v="1"/>
    <n v="0"/>
    <n v="0"/>
    <n v="7"/>
    <x v="0"/>
  </r>
  <r>
    <s v="STU028"/>
    <x v="2"/>
    <n v="34"/>
    <n v="13"/>
    <n v="50"/>
    <b v="1"/>
    <n v="34.9"/>
    <n v="51"/>
    <m/>
    <n v="62.1"/>
    <n v="49.333333333333343"/>
    <s v="B.E. CSE"/>
    <n v="5"/>
    <s v="Group A"/>
    <n v="11"/>
    <n v="14"/>
    <n v="36"/>
    <s v="Core"/>
    <n v="3"/>
    <s v="Faculty D"/>
    <s v="Developing"/>
    <n v="1"/>
    <n v="0"/>
    <n v="1"/>
    <n v="14"/>
    <x v="0"/>
  </r>
  <r>
    <s v="STU028"/>
    <x v="7"/>
    <n v="37"/>
    <n v="17"/>
    <n v="40.54054054054054"/>
    <b v="1"/>
    <n v="46.8"/>
    <n v="55.4"/>
    <n v="58.5"/>
    <n v="58.7"/>
    <n v="54.85"/>
    <s v="B.E. CSE"/>
    <n v="5"/>
    <s v="Group A"/>
    <n v="19"/>
    <n v="7"/>
    <n v="49"/>
    <s v="Core"/>
    <n v="4"/>
    <s v="Faculty C"/>
    <s v="Developing"/>
    <n v="1"/>
    <n v="0"/>
    <n v="0"/>
    <n v="7"/>
    <x v="0"/>
  </r>
  <r>
    <s v="STU028"/>
    <x v="4"/>
    <n v="35"/>
    <n v="15"/>
    <n v="60"/>
    <b v="1"/>
    <n v="66.8"/>
    <n v="62.5"/>
    <n v="48.5"/>
    <n v="41.2"/>
    <n v="54.75"/>
    <s v="B.E. CSE"/>
    <n v="5"/>
    <s v="Group A"/>
    <n v="18"/>
    <n v="6"/>
    <n v="66"/>
    <s v="Elective"/>
    <n v="3"/>
    <s v="Faculty F"/>
    <s v="Developing"/>
    <n v="1"/>
    <n v="0"/>
    <n v="0"/>
    <n v="6"/>
    <x v="0"/>
  </r>
  <r>
    <s v="STU028"/>
    <x v="5"/>
    <n v="38"/>
    <n v="21"/>
    <n v="50"/>
    <b v="1"/>
    <n v="63.1"/>
    <n v="61.2"/>
    <n v="71.900000000000006"/>
    <n v="77.400000000000006"/>
    <n v="68.400000000000006"/>
    <s v="B.E. CSE"/>
    <n v="5"/>
    <s v="Group A"/>
    <n v="11"/>
    <n v="8"/>
    <n v="29"/>
    <s v="Foundation"/>
    <n v="4"/>
    <s v="Faculty E"/>
    <s v="Good"/>
    <n v="1"/>
    <n v="0"/>
    <n v="0"/>
    <n v="8"/>
    <x v="1"/>
  </r>
  <r>
    <s v="STU029"/>
    <x v="0"/>
    <n v="30"/>
    <n v="19"/>
    <n v="43.333333333333343"/>
    <b v="1"/>
    <n v="57.1"/>
    <n v="67.400000000000006"/>
    <n v="32.5"/>
    <n v="51.8"/>
    <n v="52.2"/>
    <s v="B.E. CSE"/>
    <n v="4"/>
    <s v="Group A"/>
    <n v="18"/>
    <n v="8"/>
    <n v="42"/>
    <s v="Core"/>
    <n v="4"/>
    <s v="Faculty A"/>
    <s v="Developing"/>
    <n v="1"/>
    <n v="0"/>
    <n v="0"/>
    <n v="8"/>
    <x v="0"/>
  </r>
  <r>
    <s v="STU029"/>
    <x v="2"/>
    <n v="28"/>
    <n v="13"/>
    <n v="28.571428571428569"/>
    <b v="1"/>
    <n v="45.8"/>
    <n v="51.2"/>
    <n v="57.3"/>
    <n v="35.299999999999997"/>
    <n v="47.400000000000013"/>
    <s v="B.E. CSE"/>
    <n v="4"/>
    <s v="Group A"/>
    <n v="4"/>
    <n v="8"/>
    <n v="27"/>
    <s v="Core"/>
    <n v="3"/>
    <s v="Faculty D"/>
    <s v="Developing"/>
    <n v="1"/>
    <n v="1"/>
    <n v="0"/>
    <n v="8"/>
    <x v="0"/>
  </r>
  <r>
    <s v="STU029"/>
    <x v="7"/>
    <n v="36"/>
    <n v="8"/>
    <n v="50"/>
    <b v="1"/>
    <n v="40"/>
    <n v="41.2"/>
    <n v="33.6"/>
    <n v="48.4"/>
    <n v="40.799999999999997"/>
    <s v="B.E. CSE"/>
    <n v="4"/>
    <s v="Group A"/>
    <n v="17"/>
    <n v="7"/>
    <n v="47"/>
    <s v="Core"/>
    <n v="4"/>
    <s v="Faculty C"/>
    <s v="Developing"/>
    <n v="1"/>
    <n v="0"/>
    <n v="0"/>
    <n v="7"/>
    <x v="0"/>
  </r>
  <r>
    <s v="STU029"/>
    <x v="5"/>
    <n v="36"/>
    <n v="18"/>
    <n v="55.555555555555557"/>
    <b v="1"/>
    <n v="49.1"/>
    <n v="55.5"/>
    <n v="45.9"/>
    <n v="45.8"/>
    <n v="49.075000000000003"/>
    <s v="B.E. CSE"/>
    <n v="4"/>
    <s v="Group A"/>
    <n v="5"/>
    <n v="9"/>
    <n v="40"/>
    <s v="Foundation"/>
    <n v="4"/>
    <s v="Faculty E"/>
    <s v="Developing"/>
    <n v="1"/>
    <n v="0"/>
    <n v="0"/>
    <n v="9"/>
    <x v="0"/>
  </r>
  <r>
    <s v="STU030"/>
    <x v="0"/>
    <n v="36"/>
    <n v="20"/>
    <n v="52.777777777777779"/>
    <b v="1"/>
    <n v="67.599999999999994"/>
    <n v="81.2"/>
    <n v="44.5"/>
    <n v="62.7"/>
    <n v="64"/>
    <s v="B.Tech IT"/>
    <n v="3"/>
    <s v="Group A"/>
    <n v="7"/>
    <n v="9"/>
    <n v="23"/>
    <s v="Core"/>
    <n v="4"/>
    <s v="Faculty A"/>
    <s v="Good"/>
    <n v="1"/>
    <n v="0"/>
    <n v="0"/>
    <n v="9"/>
    <x v="1"/>
  </r>
  <r>
    <s v="STU030"/>
    <x v="6"/>
    <n v="27"/>
    <n v="19"/>
    <n v="74.074074074074076"/>
    <b v="1"/>
    <n v="70"/>
    <n v="69.2"/>
    <n v="74.599999999999994"/>
    <n v="78.5"/>
    <n v="73.074999999999989"/>
    <s v="B.Tech IT"/>
    <n v="3"/>
    <s v="Group A"/>
    <n v="15"/>
    <n v="9"/>
    <n v="56"/>
    <s v="Core"/>
    <n v="3"/>
    <s v="Faculty B"/>
    <s v="Good"/>
    <n v="1"/>
    <n v="0"/>
    <n v="0"/>
    <n v="9"/>
    <x v="1"/>
  </r>
  <r>
    <s v="STU030"/>
    <x v="2"/>
    <n v="39"/>
    <n v="20"/>
    <n v="89.743589743589752"/>
    <b v="1"/>
    <n v="58"/>
    <n v="89.8"/>
    <n v="95.4"/>
    <n v="80.400000000000006"/>
    <n v="80.900000000000006"/>
    <s v="B.Tech IT"/>
    <n v="3"/>
    <s v="Group A"/>
    <n v="21"/>
    <n v="5"/>
    <n v="60"/>
    <s v="Core"/>
    <n v="3"/>
    <s v="Faculty D"/>
    <s v="High Performance"/>
    <n v="0"/>
    <n v="0"/>
    <n v="0"/>
    <n v="5"/>
    <x v="1"/>
  </r>
  <r>
    <s v="STU030"/>
    <x v="7"/>
    <n v="34"/>
    <n v="35"/>
    <n v="61.764705882352942"/>
    <b v="1"/>
    <n v="82"/>
    <n v="70.900000000000006"/>
    <n v="60.9"/>
    <n v="67.8"/>
    <n v="70.400000000000006"/>
    <s v="B.Tech IT"/>
    <n v="3"/>
    <s v="Group A"/>
    <m/>
    <n v="5"/>
    <m/>
    <s v="Core"/>
    <n v="4"/>
    <s v="Faculty C"/>
    <s v="Good"/>
    <n v="1"/>
    <n v="1"/>
    <n v="0"/>
    <n v="5"/>
    <x v="1"/>
  </r>
  <r>
    <s v="STU030"/>
    <x v="5"/>
    <n v="24"/>
    <n v="21"/>
    <n v="70.833333333333343"/>
    <b v="1"/>
    <n v="71.3"/>
    <n v="57.6"/>
    <n v="81.2"/>
    <n v="79.599999999999994"/>
    <n v="72.425000000000011"/>
    <s v="B.Tech IT"/>
    <n v="3"/>
    <s v="Group A"/>
    <n v="20"/>
    <n v="9"/>
    <n v="54"/>
    <s v="Foundation"/>
    <n v="4"/>
    <s v="Faculty E"/>
    <s v="Good"/>
    <n v="1"/>
    <n v="0"/>
    <n v="0"/>
    <n v="9"/>
    <x v="1"/>
  </r>
  <r>
    <s v="STU031"/>
    <x v="6"/>
    <n v="34"/>
    <n v="17"/>
    <n v="64.705882352941174"/>
    <b v="1"/>
    <n v="58"/>
    <n v="43.9"/>
    <n v="49"/>
    <n v="58.8"/>
    <n v="52.424999999999997"/>
    <s v="B.Tech IT"/>
    <n v="6"/>
    <s v="Group A"/>
    <n v="15"/>
    <n v="9"/>
    <n v="40"/>
    <s v="Core"/>
    <n v="3"/>
    <s v="Faculty B"/>
    <s v="Developing"/>
    <n v="1"/>
    <n v="0"/>
    <n v="0"/>
    <n v="9"/>
    <x v="0"/>
  </r>
  <r>
    <s v="STU031"/>
    <x v="1"/>
    <n v="33"/>
    <n v="22"/>
    <n v="69.696969696969703"/>
    <b v="1"/>
    <n v="55.1"/>
    <n v="46"/>
    <n v="22.9"/>
    <n v="43.3"/>
    <n v="41.825000000000003"/>
    <s v="B.Tech IT"/>
    <n v="6"/>
    <s v="Group A"/>
    <n v="12"/>
    <n v="10"/>
    <n v="48"/>
    <s v="Practical"/>
    <n v="2"/>
    <s v="Faculty A"/>
    <s v="Developing"/>
    <n v="1"/>
    <n v="0"/>
    <n v="0"/>
    <n v="10"/>
    <x v="0"/>
  </r>
  <r>
    <s v="STU031"/>
    <x v="2"/>
    <n v="30"/>
    <n v="23"/>
    <n v="53.333333333333343"/>
    <b v="1"/>
    <n v="62.4"/>
    <n v="38.4"/>
    <n v="67.3"/>
    <n v="53.6"/>
    <n v="55.424999999999997"/>
    <s v="B.Tech IT"/>
    <n v="6"/>
    <s v="Group A"/>
    <n v="10"/>
    <n v="7"/>
    <n v="31"/>
    <s v="Core"/>
    <n v="3"/>
    <s v="Faculty D"/>
    <s v="Developing"/>
    <n v="1"/>
    <n v="0"/>
    <n v="0"/>
    <n v="7"/>
    <x v="0"/>
  </r>
  <r>
    <s v="STU031"/>
    <x v="7"/>
    <n v="34"/>
    <n v="16"/>
    <n v="29.411764705882359"/>
    <b v="1"/>
    <n v="42.9"/>
    <n v="39.299999999999997"/>
    <n v="54.2"/>
    <n v="52.8"/>
    <n v="47.3"/>
    <s v="B.Tech IT"/>
    <n v="6"/>
    <s v="Group A"/>
    <n v="9"/>
    <n v="7"/>
    <n v="46"/>
    <s v="Core"/>
    <n v="4"/>
    <s v="Faculty C"/>
    <s v="Developing"/>
    <n v="1"/>
    <n v="0"/>
    <n v="0"/>
    <n v="7"/>
    <x v="0"/>
  </r>
  <r>
    <s v="STU031"/>
    <x v="5"/>
    <n v="27"/>
    <n v="10"/>
    <n v="66.666666666666657"/>
    <b v="1"/>
    <n v="50.9"/>
    <n v="11.1"/>
    <n v="26"/>
    <n v="52.8"/>
    <n v="35.200000000000003"/>
    <s v="B.Tech IT"/>
    <n v="6"/>
    <s v="Group A"/>
    <n v="15"/>
    <n v="5"/>
    <n v="37"/>
    <s v="Foundation"/>
    <n v="4"/>
    <s v="Faculty E"/>
    <s v="Needs Support"/>
    <n v="1"/>
    <n v="0"/>
    <n v="0"/>
    <n v="5"/>
    <x v="0"/>
  </r>
  <r>
    <s v="STU032"/>
    <x v="0"/>
    <n v="26"/>
    <n v="18"/>
    <n v="34.615384615384613"/>
    <b v="1"/>
    <n v="33.799999999999997"/>
    <n v="41"/>
    <n v="70.7"/>
    <n v="52.2"/>
    <n v="49.424999999999997"/>
    <s v="B.E. EEE"/>
    <n v="6"/>
    <s v="Group A"/>
    <n v="15"/>
    <n v="4"/>
    <n v="41"/>
    <s v="Core"/>
    <n v="4"/>
    <s v="Faculty A"/>
    <s v="Developing"/>
    <n v="1"/>
    <n v="0"/>
    <n v="0"/>
    <n v="4"/>
    <x v="0"/>
  </r>
  <r>
    <s v="STU032"/>
    <x v="6"/>
    <n v="36"/>
    <n v="9"/>
    <n v="44.444444444444443"/>
    <b v="1"/>
    <n v="38.5"/>
    <n v="55.1"/>
    <n v="42.8"/>
    <n v="61.4"/>
    <n v="49.45"/>
    <s v="B.E. EEE"/>
    <n v="6"/>
    <s v="Group A"/>
    <n v="12"/>
    <n v="7"/>
    <n v="39"/>
    <s v="Core"/>
    <n v="3"/>
    <s v="Faculty B"/>
    <s v="Developing"/>
    <n v="1"/>
    <n v="0"/>
    <n v="0"/>
    <n v="7"/>
    <x v="0"/>
  </r>
  <r>
    <s v="STU032"/>
    <x v="1"/>
    <n v="32"/>
    <n v="16"/>
    <n v="46.875"/>
    <b v="1"/>
    <n v="53.7"/>
    <n v="55"/>
    <n v="42.8"/>
    <n v="65"/>
    <n v="54.125"/>
    <s v="B.E. EEE"/>
    <n v="6"/>
    <s v="Group A"/>
    <n v="14"/>
    <n v="7"/>
    <n v="46"/>
    <s v="Practical"/>
    <n v="2"/>
    <s v="Faculty A"/>
    <s v="Developing"/>
    <n v="1"/>
    <n v="0"/>
    <n v="0"/>
    <n v="7"/>
    <x v="0"/>
  </r>
  <r>
    <s v="STU032"/>
    <x v="4"/>
    <n v="35"/>
    <n v="15"/>
    <n v="40"/>
    <b v="1"/>
    <n v="29.6"/>
    <n v="59.5"/>
    <n v="72.3"/>
    <n v="63.7"/>
    <n v="56.274999999999991"/>
    <s v="B.E. EEE"/>
    <n v="6"/>
    <s v="Group A"/>
    <n v="15"/>
    <n v="7"/>
    <n v="47"/>
    <s v="Elective"/>
    <n v="3"/>
    <s v="Faculty F"/>
    <s v="Developing"/>
    <n v="1"/>
    <n v="0"/>
    <n v="0"/>
    <n v="7"/>
    <x v="0"/>
  </r>
  <r>
    <s v="STU033"/>
    <x v="0"/>
    <n v="31"/>
    <n v="14"/>
    <n v="45.161290322580641"/>
    <b v="1"/>
    <n v="70.2"/>
    <n v="71"/>
    <n v="75.2"/>
    <n v="71.5"/>
    <n v="71.974999999999994"/>
    <s v="B.E. CSE"/>
    <n v="3"/>
    <s v="Group A"/>
    <n v="18"/>
    <n v="9"/>
    <n v="52"/>
    <s v="Core"/>
    <n v="4"/>
    <s v="Faculty A"/>
    <s v="Good"/>
    <n v="1"/>
    <n v="0"/>
    <n v="0"/>
    <n v="9"/>
    <x v="1"/>
  </r>
  <r>
    <s v="STU033"/>
    <x v="1"/>
    <n v="25"/>
    <n v="14"/>
    <n v="28"/>
    <b v="1"/>
    <n v="57"/>
    <n v="80.8"/>
    <n v="53.8"/>
    <n v="75.7"/>
    <n v="66.825000000000003"/>
    <s v="B.E. CSE"/>
    <n v="3"/>
    <s v="Group A"/>
    <m/>
    <n v="9"/>
    <m/>
    <s v="Practical"/>
    <n v="2"/>
    <s v="Faculty A"/>
    <s v="Good"/>
    <n v="1"/>
    <n v="1"/>
    <n v="0"/>
    <n v="9"/>
    <x v="1"/>
  </r>
  <r>
    <s v="STU033"/>
    <x v="3"/>
    <n v="28"/>
    <n v="7"/>
    <n v="89.285714285714292"/>
    <b v="1"/>
    <n v="51.5"/>
    <n v="68.8"/>
    <n v="61"/>
    <n v="53.8"/>
    <n v="58.775000000000013"/>
    <s v="B.E. CSE"/>
    <n v="3"/>
    <s v="Group A"/>
    <n v="25"/>
    <n v="8"/>
    <n v="55"/>
    <s v="Core"/>
    <n v="3"/>
    <s v="Faculty G"/>
    <s v="Developing"/>
    <n v="0"/>
    <n v="0"/>
    <n v="0"/>
    <n v="8"/>
    <x v="1"/>
  </r>
  <r>
    <s v="STU033"/>
    <x v="7"/>
    <n v="39"/>
    <n v="25"/>
    <n v="76.923076923076934"/>
    <b v="1"/>
    <n v="49.7"/>
    <n v="87.6"/>
    <n v="72.099999999999994"/>
    <n v="71.8"/>
    <n v="70.3"/>
    <s v="B.E. CSE"/>
    <n v="3"/>
    <s v="Group A"/>
    <n v="26"/>
    <n v="9"/>
    <n v="67"/>
    <s v="Core"/>
    <n v="4"/>
    <s v="Faculty C"/>
    <s v="Good"/>
    <n v="0"/>
    <n v="0"/>
    <n v="0"/>
    <n v="9"/>
    <x v="1"/>
  </r>
  <r>
    <s v="STU033"/>
    <x v="4"/>
    <n v="24"/>
    <n v="30"/>
    <n v="70.833333333333343"/>
    <b v="1"/>
    <n v="64.3"/>
    <n v="61.2"/>
    <n v="63.9"/>
    <n v="70.5"/>
    <n v="64.974999999999994"/>
    <s v="B.E. CSE"/>
    <n v="3"/>
    <s v="Group A"/>
    <n v="11"/>
    <n v="6"/>
    <n v="45"/>
    <s v="Elective"/>
    <n v="3"/>
    <s v="Faculty F"/>
    <s v="Good"/>
    <n v="1"/>
    <n v="0"/>
    <n v="0"/>
    <n v="6"/>
    <x v="1"/>
  </r>
  <r>
    <s v="STU034"/>
    <x v="0"/>
    <n v="36"/>
    <n v="17"/>
    <n v="75"/>
    <b v="1"/>
    <n v="77.7"/>
    <n v="84.1"/>
    <n v="64.400000000000006"/>
    <n v="64"/>
    <n v="72.550000000000011"/>
    <s v="B.E. CSE"/>
    <n v="5"/>
    <s v="Group B"/>
    <n v="15"/>
    <n v="6"/>
    <n v="34"/>
    <s v="Core"/>
    <n v="4"/>
    <s v="Faculty A"/>
    <s v="Good"/>
    <n v="0"/>
    <n v="0"/>
    <n v="0"/>
    <n v="6"/>
    <x v="1"/>
  </r>
  <r>
    <s v="STU034"/>
    <x v="3"/>
    <n v="29"/>
    <n v="27"/>
    <n v="51.724137931034477"/>
    <b v="1"/>
    <n v="40.200000000000003"/>
    <n v="63.7"/>
    <n v="57.1"/>
    <n v="60"/>
    <n v="55.25"/>
    <s v="B.E. CSE"/>
    <n v="5"/>
    <s v="Group B"/>
    <n v="11"/>
    <n v="10"/>
    <n v="29"/>
    <s v="Core"/>
    <n v="3"/>
    <s v="Faculty G"/>
    <s v="Developing"/>
    <n v="1"/>
    <n v="0"/>
    <n v="0"/>
    <n v="10"/>
    <x v="0"/>
  </r>
  <r>
    <s v="STU034"/>
    <x v="7"/>
    <n v="29"/>
    <n v="15"/>
    <n v="41.379310344827587"/>
    <b v="1"/>
    <n v="46"/>
    <n v="54.7"/>
    <n v="29.1"/>
    <n v="55.8"/>
    <n v="46.400000000000013"/>
    <s v="B.E. CSE"/>
    <n v="5"/>
    <s v="Group B"/>
    <n v="16"/>
    <n v="4"/>
    <n v="41"/>
    <s v="Core"/>
    <n v="4"/>
    <s v="Faculty C"/>
    <s v="Developing"/>
    <n v="1"/>
    <n v="0"/>
    <n v="0"/>
    <n v="4"/>
    <x v="0"/>
  </r>
  <r>
    <s v="STU034"/>
    <x v="4"/>
    <n v="32"/>
    <n v="12"/>
    <n v="65.625"/>
    <b v="1"/>
    <n v="57.2"/>
    <n v="64.2"/>
    <n v="72.400000000000006"/>
    <n v="67.599999999999994"/>
    <n v="65.349999999999994"/>
    <s v="B.E. CSE"/>
    <n v="5"/>
    <s v="Group B"/>
    <n v="20"/>
    <n v="8"/>
    <n v="53"/>
    <s v="Elective"/>
    <n v="3"/>
    <s v="Faculty F"/>
    <s v="Good"/>
    <n v="1"/>
    <n v="0"/>
    <n v="0"/>
    <n v="8"/>
    <x v="1"/>
  </r>
  <r>
    <s v="STU034"/>
    <x v="5"/>
    <n v="29"/>
    <n v="21"/>
    <n v="65.517241379310349"/>
    <b v="1"/>
    <n v="55.1"/>
    <n v="68.400000000000006"/>
    <n v="62.1"/>
    <n v="59.4"/>
    <n v="61.25"/>
    <s v="B.E. CSE"/>
    <n v="5"/>
    <s v="Group B"/>
    <n v="15"/>
    <n v="7"/>
    <n v="51"/>
    <s v="Foundation"/>
    <n v="4"/>
    <s v="Faculty E"/>
    <s v="Good"/>
    <n v="1"/>
    <n v="0"/>
    <n v="0"/>
    <n v="7"/>
    <x v="1"/>
  </r>
  <r>
    <s v="STU035"/>
    <x v="1"/>
    <n v="37"/>
    <n v="19"/>
    <n v="70.270270270270274"/>
    <b v="1"/>
    <n v="67"/>
    <n v="72.3"/>
    <n v="67.3"/>
    <n v="80.2"/>
    <n v="71.7"/>
    <s v="B.E. ECE"/>
    <n v="3"/>
    <s v="Group B"/>
    <n v="21"/>
    <n v="9"/>
    <n v="51"/>
    <s v="Practical"/>
    <n v="2"/>
    <s v="Faculty A"/>
    <s v="Good"/>
    <n v="1"/>
    <n v="0"/>
    <n v="0"/>
    <n v="9"/>
    <x v="1"/>
  </r>
  <r>
    <s v="STU035"/>
    <x v="2"/>
    <n v="31"/>
    <n v="26"/>
    <n v="64.516129032258064"/>
    <b v="1"/>
    <n v="95"/>
    <n v="68.3"/>
    <n v="72.400000000000006"/>
    <n v="85.1"/>
    <n v="80.2"/>
    <s v="B.E. ECE"/>
    <n v="3"/>
    <s v="Group B"/>
    <n v="18"/>
    <n v="14"/>
    <n v="49"/>
    <s v="Core"/>
    <n v="3"/>
    <s v="Faculty D"/>
    <s v="High Performance"/>
    <n v="1"/>
    <n v="0"/>
    <n v="0"/>
    <n v="14"/>
    <x v="1"/>
  </r>
  <r>
    <s v="STU035"/>
    <x v="3"/>
    <n v="35"/>
    <n v="20"/>
    <n v="57.142857142857139"/>
    <b v="1"/>
    <n v="62"/>
    <n v="71.599999999999994"/>
    <n v="75.5"/>
    <n v="85.1"/>
    <n v="73.55"/>
    <s v="B.E. ECE"/>
    <n v="3"/>
    <s v="Group B"/>
    <n v="20"/>
    <n v="11"/>
    <n v="58"/>
    <s v="Core"/>
    <n v="3"/>
    <s v="Faculty G"/>
    <s v="Good"/>
    <n v="1"/>
    <n v="0"/>
    <n v="0"/>
    <n v="11"/>
    <x v="1"/>
  </r>
  <r>
    <s v="STU035"/>
    <x v="4"/>
    <n v="37"/>
    <n v="20"/>
    <n v="75.675675675675677"/>
    <b v="1"/>
    <n v="62.2"/>
    <n v="58.8"/>
    <n v="91.5"/>
    <n v="81.2"/>
    <n v="73.424999999999997"/>
    <s v="B.E. ECE"/>
    <n v="3"/>
    <s v="Group B"/>
    <n v="10"/>
    <n v="7"/>
    <n v="45"/>
    <s v="Elective"/>
    <n v="3"/>
    <s v="Faculty F"/>
    <s v="Good"/>
    <n v="0"/>
    <n v="0"/>
    <n v="0"/>
    <n v="7"/>
    <x v="1"/>
  </r>
  <r>
    <s v="STU036"/>
    <x v="6"/>
    <n v="27"/>
    <n v="28"/>
    <n v="59.259259259259252"/>
    <b v="1"/>
    <n v="69.099999999999994"/>
    <n v="82.2"/>
    <n v="56"/>
    <n v="67.2"/>
    <n v="68.625"/>
    <s v="B.E. CSE"/>
    <n v="5"/>
    <s v="Group A"/>
    <n v="19"/>
    <n v="10"/>
    <n v="57"/>
    <s v="Core"/>
    <n v="3"/>
    <s v="Faculty B"/>
    <s v="Good"/>
    <n v="1"/>
    <n v="0"/>
    <n v="0"/>
    <n v="10"/>
    <x v="1"/>
  </r>
  <r>
    <s v="STU036"/>
    <x v="1"/>
    <n v="37"/>
    <n v="16"/>
    <n v="54.054054054054063"/>
    <b v="1"/>
    <n v="63.7"/>
    <n v="72.400000000000006"/>
    <n v="57.4"/>
    <n v="91.3"/>
    <n v="71.2"/>
    <s v="B.E. CSE"/>
    <n v="5"/>
    <s v="Group A"/>
    <n v="20"/>
    <n v="10"/>
    <n v="67"/>
    <s v="Practical"/>
    <n v="2"/>
    <s v="Faculty A"/>
    <s v="Good"/>
    <n v="1"/>
    <n v="0"/>
    <n v="0"/>
    <n v="10"/>
    <x v="1"/>
  </r>
  <r>
    <s v="STU036"/>
    <x v="3"/>
    <n v="39"/>
    <n v="20"/>
    <n v="43.589743589743591"/>
    <b v="1"/>
    <n v="58.1"/>
    <n v="62"/>
    <m/>
    <n v="69.8"/>
    <n v="63.29999999999999"/>
    <s v="B.E. CSE"/>
    <n v="5"/>
    <s v="Group A"/>
    <n v="10"/>
    <n v="10"/>
    <n v="38"/>
    <s v="Core"/>
    <n v="3"/>
    <s v="Faculty G"/>
    <s v="Good"/>
    <n v="1"/>
    <n v="0"/>
    <n v="1"/>
    <n v="10"/>
    <x v="1"/>
  </r>
  <r>
    <s v="STU036"/>
    <x v="7"/>
    <n v="26"/>
    <n v="17"/>
    <n v="69.230769230769226"/>
    <b v="1"/>
    <n v="74.400000000000006"/>
    <n v="77.2"/>
    <n v="100"/>
    <n v="86.1"/>
    <n v="84.425000000000011"/>
    <s v="B.E. CSE"/>
    <n v="5"/>
    <s v="Group A"/>
    <n v="15"/>
    <n v="8"/>
    <n v="39"/>
    <s v="Core"/>
    <n v="4"/>
    <s v="Faculty C"/>
    <s v="High Performance"/>
    <n v="1"/>
    <n v="0"/>
    <n v="0"/>
    <n v="8"/>
    <x v="1"/>
  </r>
  <r>
    <s v="STU037"/>
    <x v="0"/>
    <n v="29"/>
    <n v="18"/>
    <n v="58.620689655172413"/>
    <b v="1"/>
    <n v="71.5"/>
    <n v="81.400000000000006"/>
    <n v="83.5"/>
    <n v="74.7"/>
    <n v="77.775000000000006"/>
    <s v="B.E. CSE"/>
    <n v="4"/>
    <s v="Group A"/>
    <n v="15"/>
    <n v="10"/>
    <n v="52"/>
    <s v="Core"/>
    <n v="4"/>
    <s v="Faculty A"/>
    <s v="High Performance"/>
    <n v="1"/>
    <n v="0"/>
    <n v="0"/>
    <n v="10"/>
    <x v="1"/>
  </r>
  <r>
    <s v="STU037"/>
    <x v="2"/>
    <n v="36"/>
    <n v="17"/>
    <n v="75"/>
    <b v="1"/>
    <n v="91.7"/>
    <n v="98.9"/>
    <n v="62"/>
    <n v="83.3"/>
    <n v="83.975000000000009"/>
    <s v="B.E. CSE"/>
    <n v="4"/>
    <s v="Group A"/>
    <n v="19"/>
    <n v="9"/>
    <n v="48"/>
    <s v="Core"/>
    <n v="3"/>
    <s v="Faculty D"/>
    <s v="High Performance"/>
    <n v="0"/>
    <n v="0"/>
    <n v="0"/>
    <n v="9"/>
    <x v="1"/>
  </r>
  <r>
    <s v="STU037"/>
    <x v="3"/>
    <n v="31"/>
    <n v="27"/>
    <n v="54.838709677419352"/>
    <b v="1"/>
    <n v="66.7"/>
    <n v="73"/>
    <n v="38.299999999999997"/>
    <n v="71.599999999999994"/>
    <n v="62.4"/>
    <s v="B.E. CSE"/>
    <n v="4"/>
    <s v="Group A"/>
    <n v="17"/>
    <n v="9"/>
    <n v="43"/>
    <s v="Core"/>
    <n v="3"/>
    <s v="Faculty G"/>
    <s v="Good"/>
    <n v="1"/>
    <n v="0"/>
    <n v="0"/>
    <n v="9"/>
    <x v="1"/>
  </r>
  <r>
    <s v="STU037"/>
    <x v="5"/>
    <n v="29"/>
    <n v="17"/>
    <n v="68.965517241379317"/>
    <b v="1"/>
    <n v="49.9"/>
    <n v="49.5"/>
    <n v="60.2"/>
    <n v="67.8"/>
    <n v="56.850000000000009"/>
    <s v="B.E. CSE"/>
    <n v="4"/>
    <s v="Group A"/>
    <n v="16"/>
    <n v="13"/>
    <n v="54"/>
    <s v="Foundation"/>
    <n v="4"/>
    <s v="Faculty E"/>
    <s v="Developing"/>
    <n v="1"/>
    <n v="0"/>
    <n v="0"/>
    <n v="13"/>
    <x v="0"/>
  </r>
  <r>
    <s v="STU038"/>
    <x v="1"/>
    <n v="28"/>
    <n v="20"/>
    <n v="67.857142857142861"/>
    <b v="1"/>
    <n v="43.8"/>
    <n v="47.2"/>
    <n v="53"/>
    <n v="51.7"/>
    <n v="48.924999999999997"/>
    <s v="B.E. ECE"/>
    <n v="5"/>
    <s v="Group B"/>
    <n v="5"/>
    <n v="6"/>
    <n v="30"/>
    <s v="Practical"/>
    <n v="2"/>
    <s v="Faculty A"/>
    <s v="Developing"/>
    <n v="1"/>
    <n v="0"/>
    <n v="0"/>
    <n v="6"/>
    <x v="0"/>
  </r>
  <r>
    <s v="STU038"/>
    <x v="2"/>
    <n v="29"/>
    <n v="19"/>
    <n v="41.379310344827587"/>
    <b v="1"/>
    <n v="44.4"/>
    <n v="41.5"/>
    <n v="39.200000000000003"/>
    <n v="63.6"/>
    <n v="47.174999999999997"/>
    <s v="B.E. ECE"/>
    <n v="5"/>
    <s v="Group B"/>
    <n v="11"/>
    <n v="5"/>
    <n v="48"/>
    <s v="Core"/>
    <n v="3"/>
    <s v="Faculty D"/>
    <s v="Developing"/>
    <n v="1"/>
    <n v="0"/>
    <n v="0"/>
    <n v="5"/>
    <x v="0"/>
  </r>
  <r>
    <s v="STU038"/>
    <x v="3"/>
    <n v="27"/>
    <n v="12"/>
    <n v="62.962962962962962"/>
    <b v="1"/>
    <n v="23.6"/>
    <n v="40.1"/>
    <n v="39.799999999999997"/>
    <n v="60.1"/>
    <n v="40.9"/>
    <s v="B.E. ECE"/>
    <n v="5"/>
    <s v="Group B"/>
    <n v="11"/>
    <n v="8"/>
    <n v="46"/>
    <s v="Core"/>
    <n v="3"/>
    <s v="Faculty G"/>
    <s v="Developing"/>
    <n v="1"/>
    <n v="0"/>
    <n v="0"/>
    <n v="8"/>
    <x v="0"/>
  </r>
  <r>
    <s v="STU038"/>
    <x v="7"/>
    <n v="38"/>
    <n v="17"/>
    <n v="57.894736842105267"/>
    <b v="1"/>
    <n v="53.4"/>
    <n v="73.3"/>
    <n v="48.3"/>
    <m/>
    <n v="58.333333333333343"/>
    <s v="B.E. ECE"/>
    <n v="5"/>
    <s v="Group B"/>
    <n v="11"/>
    <n v="5"/>
    <n v="54"/>
    <s v="Core"/>
    <n v="4"/>
    <s v="Faculty C"/>
    <s v="Developing"/>
    <n v="1"/>
    <n v="0"/>
    <n v="1"/>
    <n v="5"/>
    <x v="0"/>
  </r>
  <r>
    <s v="STU038"/>
    <x v="5"/>
    <n v="32"/>
    <n v="22"/>
    <n v="53.125"/>
    <b v="1"/>
    <n v="57.5"/>
    <m/>
    <n v="43.1"/>
    <n v="38.5"/>
    <n v="46.366666666666667"/>
    <s v="B.E. ECE"/>
    <n v="5"/>
    <s v="Group B"/>
    <n v="13"/>
    <n v="9"/>
    <n v="34"/>
    <s v="Foundation"/>
    <n v="4"/>
    <s v="Faculty E"/>
    <s v="Developing"/>
    <n v="1"/>
    <n v="0"/>
    <n v="1"/>
    <n v="9"/>
    <x v="0"/>
  </r>
  <r>
    <s v="STU039"/>
    <x v="0"/>
    <n v="38"/>
    <n v="17"/>
    <n v="94.736842105263165"/>
    <b v="1"/>
    <n v="76.900000000000006"/>
    <n v="89.4"/>
    <n v="85.8"/>
    <n v="79"/>
    <n v="82.775000000000006"/>
    <s v="B.E. CSE"/>
    <n v="5"/>
    <s v="Group C"/>
    <n v="9"/>
    <n v="10"/>
    <n v="16"/>
    <s v="Core"/>
    <n v="4"/>
    <s v="Faculty A"/>
    <s v="High Performance"/>
    <n v="0"/>
    <n v="0"/>
    <n v="0"/>
    <n v="10"/>
    <x v="1"/>
  </r>
  <r>
    <s v="STU039"/>
    <x v="6"/>
    <n v="31"/>
    <n v="36"/>
    <n v="87.096774193548384"/>
    <b v="1"/>
    <n v="86.1"/>
    <n v="70"/>
    <n v="50.3"/>
    <n v="83.4"/>
    <n v="72.449999999999989"/>
    <s v="B.E. CSE"/>
    <n v="5"/>
    <s v="Group C"/>
    <n v="20"/>
    <n v="8"/>
    <n v="57"/>
    <s v="Core"/>
    <n v="3"/>
    <s v="Faculty B"/>
    <s v="Good"/>
    <n v="0"/>
    <n v="0"/>
    <n v="0"/>
    <n v="8"/>
    <x v="1"/>
  </r>
  <r>
    <s v="STU039"/>
    <x v="3"/>
    <n v="32"/>
    <n v="27"/>
    <n v="46.875"/>
    <b v="1"/>
    <n v="89.1"/>
    <n v="92.5"/>
    <n v="67.5"/>
    <n v="92.9"/>
    <n v="85.5"/>
    <s v="B.E. CSE"/>
    <n v="5"/>
    <s v="Group C"/>
    <n v="21"/>
    <n v="14"/>
    <n v="51"/>
    <s v="Core"/>
    <n v="3"/>
    <s v="Faculty G"/>
    <s v="High Performance"/>
    <n v="1"/>
    <n v="0"/>
    <n v="0"/>
    <n v="14"/>
    <x v="1"/>
  </r>
  <r>
    <s v="STU039"/>
    <x v="7"/>
    <n v="25"/>
    <n v="15"/>
    <n v="64"/>
    <b v="1"/>
    <n v="60.1"/>
    <n v="48.1"/>
    <n v="62.7"/>
    <n v="81.099999999999994"/>
    <n v="63"/>
    <s v="B.E. CSE"/>
    <n v="5"/>
    <s v="Group C"/>
    <m/>
    <n v="13"/>
    <m/>
    <s v="Core"/>
    <n v="4"/>
    <s v="Faculty C"/>
    <s v="Good"/>
    <n v="1"/>
    <n v="1"/>
    <n v="0"/>
    <n v="13"/>
    <x v="1"/>
  </r>
  <r>
    <s v="STU039"/>
    <x v="4"/>
    <n v="25"/>
    <n v="16"/>
    <n v="84"/>
    <b v="1"/>
    <n v="84.4"/>
    <n v="82.3"/>
    <n v="91.7"/>
    <n v="82"/>
    <n v="85.1"/>
    <s v="B.E. CSE"/>
    <n v="5"/>
    <s v="Group C"/>
    <n v="22"/>
    <n v="10"/>
    <n v="57"/>
    <s v="Elective"/>
    <n v="3"/>
    <s v="Faculty F"/>
    <s v="High Performance"/>
    <n v="0"/>
    <n v="0"/>
    <n v="0"/>
    <n v="10"/>
    <x v="1"/>
  </r>
  <r>
    <s v="STU039"/>
    <x v="5"/>
    <n v="31"/>
    <n v="21"/>
    <n v="83.870967741935488"/>
    <b v="1"/>
    <n v="86.5"/>
    <n v="81"/>
    <n v="77.7"/>
    <n v="83.5"/>
    <n v="82.174999999999997"/>
    <s v="B.E. CSE"/>
    <n v="5"/>
    <s v="Group C"/>
    <n v="23"/>
    <n v="14"/>
    <n v="70"/>
    <s v="Foundation"/>
    <n v="4"/>
    <s v="Faculty E"/>
    <s v="High Performance"/>
    <n v="0"/>
    <n v="0"/>
    <n v="0"/>
    <n v="14"/>
    <x v="1"/>
  </r>
  <r>
    <s v="STU040"/>
    <x v="0"/>
    <n v="35"/>
    <n v="26"/>
    <n v="60"/>
    <b v="1"/>
    <n v="90.4"/>
    <n v="100"/>
    <n v="84.8"/>
    <n v="76.900000000000006"/>
    <n v="88.025000000000006"/>
    <s v="B.Tech IT"/>
    <n v="5"/>
    <s v="Group C"/>
    <n v="22"/>
    <n v="9"/>
    <n v="60"/>
    <s v="Core"/>
    <n v="4"/>
    <s v="Faculty A"/>
    <s v="High Performance"/>
    <n v="1"/>
    <n v="0"/>
    <n v="0"/>
    <n v="9"/>
    <x v="1"/>
  </r>
  <r>
    <s v="STU040"/>
    <x v="1"/>
    <n v="33"/>
    <n v="21"/>
    <n v="60.606060606060609"/>
    <b v="1"/>
    <n v="97"/>
    <n v="100"/>
    <n v="100"/>
    <n v="100"/>
    <n v="99.25"/>
    <s v="B.Tech IT"/>
    <n v="5"/>
    <s v="Group C"/>
    <n v="17"/>
    <n v="9"/>
    <n v="58"/>
    <s v="Practical"/>
    <n v="2"/>
    <s v="Faculty A"/>
    <s v="High Performance"/>
    <n v="1"/>
    <n v="0"/>
    <n v="0"/>
    <n v="9"/>
    <x v="1"/>
  </r>
  <r>
    <s v="STU040"/>
    <x v="3"/>
    <n v="29"/>
    <n v="20"/>
    <n v="48.275862068965523"/>
    <b v="1"/>
    <n v="100"/>
    <n v="87.4"/>
    <n v="87.6"/>
    <n v="92.8"/>
    <n v="91.95"/>
    <s v="B.Tech IT"/>
    <n v="5"/>
    <s v="Group C"/>
    <n v="26"/>
    <n v="12"/>
    <n v="73"/>
    <s v="Core"/>
    <n v="3"/>
    <s v="Faculty G"/>
    <s v="High Performance"/>
    <n v="1"/>
    <n v="0"/>
    <n v="0"/>
    <n v="12"/>
    <x v="1"/>
  </r>
  <r>
    <s v="STU040"/>
    <x v="7"/>
    <n v="36"/>
    <n v="14"/>
    <n v="83.333333333333343"/>
    <b v="1"/>
    <n v="95.2"/>
    <n v="86"/>
    <n v="60.2"/>
    <n v="100"/>
    <n v="85.35"/>
    <s v="B.Tech IT"/>
    <n v="5"/>
    <s v="Group C"/>
    <n v="23"/>
    <n v="13"/>
    <n v="76"/>
    <s v="Core"/>
    <n v="4"/>
    <s v="Faculty C"/>
    <s v="High Performance"/>
    <n v="0"/>
    <n v="0"/>
    <n v="0"/>
    <n v="13"/>
    <x v="1"/>
  </r>
  <r>
    <s v="STU041"/>
    <x v="1"/>
    <n v="28"/>
    <n v="30"/>
    <n v="50"/>
    <b v="1"/>
    <n v="59.1"/>
    <n v="57.1"/>
    <n v="20.399999999999999"/>
    <n v="57.8"/>
    <n v="48.6"/>
    <s v="B.E. ECE"/>
    <n v="3"/>
    <s v="Group A"/>
    <n v="12"/>
    <n v="12"/>
    <n v="26"/>
    <s v="Practical"/>
    <n v="2"/>
    <s v="Faculty A"/>
    <s v="Developing"/>
    <n v="1"/>
    <n v="0"/>
    <n v="0"/>
    <n v="12"/>
    <x v="0"/>
  </r>
  <r>
    <s v="STU041"/>
    <x v="3"/>
    <n v="39"/>
    <n v="14"/>
    <n v="53.846153846153847"/>
    <b v="1"/>
    <n v="63.9"/>
    <n v="72.099999999999994"/>
    <n v="53.2"/>
    <n v="45.2"/>
    <n v="58.6"/>
    <s v="B.E. ECE"/>
    <n v="3"/>
    <s v="Group A"/>
    <n v="20"/>
    <n v="5"/>
    <n v="59"/>
    <s v="Core"/>
    <n v="3"/>
    <s v="Faculty G"/>
    <s v="Developing"/>
    <n v="1"/>
    <n v="0"/>
    <n v="0"/>
    <n v="5"/>
    <x v="0"/>
  </r>
  <r>
    <s v="STU041"/>
    <x v="4"/>
    <n v="37"/>
    <n v="21"/>
    <n v="43.243243243243242"/>
    <b v="1"/>
    <n v="85.7"/>
    <n v="67"/>
    <n v="58.6"/>
    <n v="82"/>
    <n v="73.324999999999989"/>
    <s v="B.E. ECE"/>
    <n v="3"/>
    <s v="Group A"/>
    <n v="4"/>
    <n v="5"/>
    <n v="25"/>
    <s v="Elective"/>
    <n v="3"/>
    <s v="Faculty F"/>
    <s v="Good"/>
    <n v="1"/>
    <n v="1"/>
    <n v="0"/>
    <n v="5"/>
    <x v="1"/>
  </r>
  <r>
    <s v="STU041"/>
    <x v="5"/>
    <n v="35"/>
    <n v="16"/>
    <n v="51.428571428571423"/>
    <b v="1"/>
    <n v="52.8"/>
    <n v="61.2"/>
    <n v="47.1"/>
    <n v="70.400000000000006"/>
    <n v="57.875"/>
    <s v="B.E. ECE"/>
    <n v="3"/>
    <s v="Group A"/>
    <n v="14"/>
    <n v="11"/>
    <n v="48"/>
    <s v="Foundation"/>
    <n v="4"/>
    <s v="Faculty E"/>
    <s v="Developing"/>
    <n v="1"/>
    <n v="0"/>
    <n v="0"/>
    <n v="11"/>
    <x v="0"/>
  </r>
  <r>
    <s v="STU042"/>
    <x v="0"/>
    <n v="24"/>
    <n v="18"/>
    <n v="83.333333333333343"/>
    <b v="1"/>
    <n v="60"/>
    <n v="68"/>
    <n v="62.5"/>
    <n v="77.3"/>
    <n v="66.95"/>
    <s v="B.Tech IT"/>
    <n v="6"/>
    <s v="Group A"/>
    <n v="20"/>
    <n v="8"/>
    <n v="50"/>
    <s v="Core"/>
    <n v="4"/>
    <s v="Faculty A"/>
    <s v="Good"/>
    <n v="0"/>
    <n v="0"/>
    <n v="0"/>
    <n v="8"/>
    <x v="1"/>
  </r>
  <r>
    <s v="STU042"/>
    <x v="6"/>
    <n v="40"/>
    <n v="20"/>
    <n v="75"/>
    <b v="1"/>
    <m/>
    <n v="95.8"/>
    <n v="96.1"/>
    <n v="88.4"/>
    <n v="93.433333333333323"/>
    <s v="B.Tech IT"/>
    <n v="6"/>
    <s v="Group A"/>
    <n v="24"/>
    <n v="12"/>
    <n v="87"/>
    <s v="Core"/>
    <n v="3"/>
    <s v="Faculty B"/>
    <s v="High Performance"/>
    <n v="0"/>
    <n v="0"/>
    <n v="1"/>
    <n v="12"/>
    <x v="1"/>
  </r>
  <r>
    <s v="STU042"/>
    <x v="2"/>
    <n v="27"/>
    <n v="30"/>
    <n v="66.666666666666657"/>
    <b v="1"/>
    <n v="98.8"/>
    <n v="88.6"/>
    <m/>
    <n v="100"/>
    <n v="95.8"/>
    <s v="B.Tech IT"/>
    <n v="6"/>
    <s v="Group A"/>
    <n v="15"/>
    <n v="9"/>
    <n v="48"/>
    <s v="Core"/>
    <n v="3"/>
    <s v="Faculty D"/>
    <s v="High Performance"/>
    <n v="1"/>
    <n v="0"/>
    <n v="1"/>
    <n v="9"/>
    <x v="1"/>
  </r>
  <r>
    <s v="STU042"/>
    <x v="5"/>
    <n v="39"/>
    <n v="18"/>
    <n v="71.794871794871796"/>
    <b v="1"/>
    <n v="76"/>
    <n v="100"/>
    <n v="78"/>
    <n v="100"/>
    <n v="88.5"/>
    <s v="B.Tech IT"/>
    <n v="6"/>
    <s v="Group A"/>
    <n v="18"/>
    <n v="8"/>
    <n v="44"/>
    <s v="Foundation"/>
    <n v="4"/>
    <s v="Faculty E"/>
    <s v="High Performance"/>
    <n v="1"/>
    <n v="0"/>
    <n v="0"/>
    <n v="8"/>
    <x v="1"/>
  </r>
  <r>
    <s v="STU043"/>
    <x v="0"/>
    <n v="24"/>
    <n v="28"/>
    <n v="50"/>
    <b v="1"/>
    <n v="49.6"/>
    <n v="74.7"/>
    <n v="87.7"/>
    <n v="64.7"/>
    <n v="69.174999999999997"/>
    <s v="B.Tech IT"/>
    <n v="4"/>
    <s v="Group A"/>
    <n v="5"/>
    <n v="7"/>
    <n v="40"/>
    <s v="Core"/>
    <n v="4"/>
    <s v="Faculty A"/>
    <s v="Good"/>
    <n v="1"/>
    <n v="0"/>
    <n v="0"/>
    <n v="7"/>
    <x v="1"/>
  </r>
  <r>
    <s v="STU043"/>
    <x v="6"/>
    <n v="26"/>
    <n v="12"/>
    <n v="46.153846153846153"/>
    <b v="1"/>
    <n v="55.6"/>
    <m/>
    <n v="52.4"/>
    <n v="64"/>
    <n v="57.333333333333343"/>
    <s v="B.Tech IT"/>
    <n v="4"/>
    <s v="Group A"/>
    <n v="20"/>
    <n v="11"/>
    <n v="56"/>
    <s v="Core"/>
    <n v="3"/>
    <s v="Faculty B"/>
    <s v="Developing"/>
    <n v="1"/>
    <n v="0"/>
    <n v="1"/>
    <n v="11"/>
    <x v="0"/>
  </r>
  <r>
    <s v="STU043"/>
    <x v="1"/>
    <n v="29"/>
    <n v="12"/>
    <n v="51.724137931034477"/>
    <b v="1"/>
    <n v="66.099999999999994"/>
    <n v="76.5"/>
    <n v="63.2"/>
    <n v="65.2"/>
    <n v="67.75"/>
    <s v="B.Tech IT"/>
    <n v="4"/>
    <s v="Group A"/>
    <n v="16"/>
    <n v="11"/>
    <n v="54"/>
    <s v="Practical"/>
    <n v="2"/>
    <s v="Faculty A"/>
    <s v="Good"/>
    <n v="1"/>
    <n v="0"/>
    <n v="0"/>
    <n v="11"/>
    <x v="1"/>
  </r>
  <r>
    <s v="STU043"/>
    <x v="2"/>
    <n v="40"/>
    <n v="15"/>
    <n v="67.5"/>
    <b v="1"/>
    <n v="68.3"/>
    <m/>
    <n v="71.2"/>
    <n v="71.5"/>
    <n v="70.333333333333329"/>
    <s v="B.Tech IT"/>
    <n v="4"/>
    <s v="Group A"/>
    <n v="25"/>
    <n v="9"/>
    <n v="73"/>
    <s v="Core"/>
    <n v="3"/>
    <s v="Faculty D"/>
    <s v="Good"/>
    <n v="1"/>
    <n v="0"/>
    <n v="1"/>
    <n v="9"/>
    <x v="1"/>
  </r>
  <r>
    <s v="STU043"/>
    <x v="7"/>
    <n v="31"/>
    <n v="27"/>
    <n v="64.516129032258064"/>
    <b v="1"/>
    <n v="47"/>
    <n v="63.2"/>
    <n v="27.4"/>
    <n v="66.8"/>
    <n v="51.1"/>
    <s v="B.Tech IT"/>
    <n v="4"/>
    <s v="Group A"/>
    <n v="21"/>
    <n v="8"/>
    <n v="74"/>
    <s v="Core"/>
    <n v="4"/>
    <s v="Faculty C"/>
    <s v="Developing"/>
    <n v="1"/>
    <n v="0"/>
    <n v="0"/>
    <n v="8"/>
    <x v="0"/>
  </r>
  <r>
    <s v="STU044"/>
    <x v="6"/>
    <n v="39"/>
    <n v="20"/>
    <n v="53.846153846153847"/>
    <b v="1"/>
    <n v="69.599999999999994"/>
    <n v="65.7"/>
    <n v="34.200000000000003"/>
    <n v="58.2"/>
    <n v="56.924999999999997"/>
    <s v="B.E. CSE"/>
    <n v="3"/>
    <s v="Group A"/>
    <n v="18"/>
    <n v="4"/>
    <n v="57"/>
    <s v="Core"/>
    <n v="3"/>
    <s v="Faculty B"/>
    <s v="Developing"/>
    <n v="1"/>
    <n v="0"/>
    <n v="0"/>
    <n v="4"/>
    <x v="0"/>
  </r>
  <r>
    <s v="STU044"/>
    <x v="2"/>
    <n v="24"/>
    <n v="21"/>
    <n v="29.166666666666671"/>
    <b v="1"/>
    <n v="60.4"/>
    <n v="56.5"/>
    <n v="45"/>
    <n v="69"/>
    <n v="57.725000000000001"/>
    <s v="B.E. CSE"/>
    <n v="3"/>
    <s v="Group A"/>
    <n v="11"/>
    <n v="10"/>
    <n v="45"/>
    <s v="Core"/>
    <n v="3"/>
    <s v="Faculty D"/>
    <s v="Developing"/>
    <n v="1"/>
    <n v="0"/>
    <n v="0"/>
    <n v="10"/>
    <x v="0"/>
  </r>
  <r>
    <s v="STU044"/>
    <x v="3"/>
    <n v="29"/>
    <n v="7"/>
    <n v="48.275862068965523"/>
    <b v="1"/>
    <n v="37"/>
    <n v="33.5"/>
    <n v="0.9"/>
    <n v="46.9"/>
    <n v="29.574999999999999"/>
    <s v="B.E. CSE"/>
    <n v="3"/>
    <s v="Group A"/>
    <n v="22"/>
    <n v="11"/>
    <n v="63"/>
    <s v="Core"/>
    <n v="3"/>
    <s v="Faculty G"/>
    <s v="Needs Support"/>
    <n v="1"/>
    <n v="0"/>
    <n v="0"/>
    <n v="11"/>
    <x v="0"/>
  </r>
  <r>
    <s v="STU044"/>
    <x v="4"/>
    <n v="38"/>
    <n v="14"/>
    <n v="55.26315789473685"/>
    <b v="1"/>
    <n v="54.4"/>
    <n v="38.200000000000003"/>
    <n v="17.2"/>
    <n v="54.4"/>
    <n v="41.05"/>
    <s v="B.E. CSE"/>
    <n v="3"/>
    <s v="Group A"/>
    <n v="19"/>
    <n v="9"/>
    <n v="58"/>
    <s v="Elective"/>
    <n v="3"/>
    <s v="Faculty F"/>
    <s v="Developing"/>
    <n v="1"/>
    <n v="0"/>
    <n v="0"/>
    <n v="9"/>
    <x v="0"/>
  </r>
  <r>
    <s v="STU044"/>
    <x v="5"/>
    <n v="37"/>
    <n v="21"/>
    <n v="51.351351351351347"/>
    <b v="1"/>
    <n v="46.1"/>
    <n v="46.8"/>
    <n v="40.299999999999997"/>
    <n v="71.900000000000006"/>
    <n v="51.274999999999999"/>
    <s v="B.E. CSE"/>
    <n v="3"/>
    <s v="Group A"/>
    <n v="6"/>
    <n v="9"/>
    <n v="16"/>
    <s v="Foundation"/>
    <n v="4"/>
    <s v="Faculty E"/>
    <s v="Developing"/>
    <n v="1"/>
    <n v="0"/>
    <n v="0"/>
    <n v="9"/>
    <x v="0"/>
  </r>
  <r>
    <s v="STU045"/>
    <x v="0"/>
    <n v="39"/>
    <n v="19"/>
    <n v="76.923076923076934"/>
    <b v="1"/>
    <n v="95.9"/>
    <n v="83"/>
    <n v="100"/>
    <n v="89.6"/>
    <n v="92.125"/>
    <s v="B.Tech IT"/>
    <n v="5"/>
    <s v="Group B"/>
    <n v="22"/>
    <n v="13"/>
    <n v="52"/>
    <s v="Core"/>
    <n v="4"/>
    <s v="Faculty A"/>
    <s v="High Performance"/>
    <n v="0"/>
    <n v="0"/>
    <n v="0"/>
    <n v="13"/>
    <x v="1"/>
  </r>
  <r>
    <s v="STU045"/>
    <x v="1"/>
    <n v="33"/>
    <n v="30"/>
    <n v="72.727272727272734"/>
    <b v="1"/>
    <n v="100"/>
    <n v="96.6"/>
    <n v="97.2"/>
    <n v="100"/>
    <n v="98.45"/>
    <s v="B.Tech IT"/>
    <n v="5"/>
    <s v="Group B"/>
    <n v="15"/>
    <n v="10"/>
    <n v="47"/>
    <s v="Practical"/>
    <n v="2"/>
    <s v="Faculty A"/>
    <s v="High Performance"/>
    <n v="1"/>
    <n v="0"/>
    <n v="0"/>
    <n v="10"/>
    <x v="1"/>
  </r>
  <r>
    <s v="STU045"/>
    <x v="3"/>
    <n v="29"/>
    <n v="24"/>
    <n v="75.862068965517238"/>
    <b v="1"/>
    <n v="88.4"/>
    <n v="100"/>
    <n v="86.1"/>
    <n v="98.5"/>
    <n v="93.25"/>
    <s v="B.Tech IT"/>
    <n v="5"/>
    <s v="Group B"/>
    <n v="28"/>
    <n v="11"/>
    <n v="65"/>
    <s v="Core"/>
    <n v="3"/>
    <s v="Faculty G"/>
    <s v="High Performance"/>
    <n v="0"/>
    <n v="0"/>
    <n v="0"/>
    <n v="11"/>
    <x v="1"/>
  </r>
  <r>
    <s v="STU045"/>
    <x v="7"/>
    <n v="28"/>
    <n v="22"/>
    <n v="89.285714285714292"/>
    <b v="1"/>
    <n v="88"/>
    <n v="100"/>
    <n v="96.6"/>
    <n v="100"/>
    <n v="96.15"/>
    <s v="B.Tech IT"/>
    <n v="5"/>
    <s v="Group B"/>
    <n v="24"/>
    <n v="12"/>
    <n v="64"/>
    <s v="Core"/>
    <n v="4"/>
    <s v="Faculty C"/>
    <s v="High Performance"/>
    <n v="0"/>
    <n v="0"/>
    <n v="0"/>
    <n v="12"/>
    <x v="1"/>
  </r>
  <r>
    <s v="STU045"/>
    <x v="4"/>
    <n v="31"/>
    <n v="25"/>
    <n v="93.548387096774206"/>
    <b v="1"/>
    <n v="100"/>
    <n v="91.2"/>
    <n v="100"/>
    <n v="100"/>
    <n v="97.8"/>
    <s v="B.Tech IT"/>
    <n v="5"/>
    <s v="Group B"/>
    <n v="25"/>
    <n v="7"/>
    <n v="58"/>
    <s v="Elective"/>
    <n v="3"/>
    <s v="Faculty F"/>
    <s v="High Performance"/>
    <n v="0"/>
    <n v="0"/>
    <n v="0"/>
    <n v="7"/>
    <x v="1"/>
  </r>
  <r>
    <s v="STU045"/>
    <x v="5"/>
    <n v="39"/>
    <n v="29"/>
    <n v="61.53846153846154"/>
    <b v="1"/>
    <n v="100"/>
    <n v="83.7"/>
    <n v="66.7"/>
    <n v="100"/>
    <n v="87.6"/>
    <s v="B.Tech IT"/>
    <n v="5"/>
    <s v="Group B"/>
    <n v="16"/>
    <n v="10"/>
    <n v="32"/>
    <s v="Foundation"/>
    <n v="4"/>
    <s v="Faculty E"/>
    <s v="High Performance"/>
    <n v="1"/>
    <n v="0"/>
    <n v="0"/>
    <n v="10"/>
    <x v="1"/>
  </r>
  <r>
    <s v="STU046"/>
    <x v="0"/>
    <n v="39"/>
    <n v="24"/>
    <n v="61.53846153846154"/>
    <b v="1"/>
    <n v="81.7"/>
    <n v="78.099999999999994"/>
    <n v="67.400000000000006"/>
    <n v="100"/>
    <n v="81.800000000000011"/>
    <s v="B.Tech IT"/>
    <n v="4"/>
    <s v="Group A"/>
    <n v="18"/>
    <n v="13"/>
    <n v="48"/>
    <s v="Core"/>
    <n v="4"/>
    <s v="Faculty A"/>
    <s v="High Performance"/>
    <n v="1"/>
    <n v="0"/>
    <n v="0"/>
    <n v="13"/>
    <x v="1"/>
  </r>
  <r>
    <s v="STU046"/>
    <x v="1"/>
    <n v="28"/>
    <n v="24"/>
    <n v="75"/>
    <b v="1"/>
    <n v="76.400000000000006"/>
    <n v="88.3"/>
    <n v="65.900000000000006"/>
    <m/>
    <n v="76.86666666666666"/>
    <s v="B.Tech IT"/>
    <n v="4"/>
    <s v="Group A"/>
    <n v="16"/>
    <n v="7"/>
    <n v="50"/>
    <s v="Practical"/>
    <n v="2"/>
    <s v="Faculty A"/>
    <s v="High Performance"/>
    <n v="0"/>
    <n v="0"/>
    <n v="1"/>
    <n v="7"/>
    <x v="1"/>
  </r>
  <r>
    <s v="STU046"/>
    <x v="2"/>
    <n v="33"/>
    <n v="21"/>
    <n v="66.666666666666657"/>
    <b v="1"/>
    <n v="71.900000000000006"/>
    <n v="91.6"/>
    <n v="97.8"/>
    <n v="82.5"/>
    <n v="85.95"/>
    <s v="B.Tech IT"/>
    <n v="4"/>
    <s v="Group A"/>
    <n v="21"/>
    <n v="9"/>
    <n v="61"/>
    <s v="Core"/>
    <n v="3"/>
    <s v="Faculty D"/>
    <s v="High Performance"/>
    <n v="1"/>
    <n v="0"/>
    <n v="0"/>
    <n v="9"/>
    <x v="1"/>
  </r>
  <r>
    <s v="STU046"/>
    <x v="3"/>
    <n v="31"/>
    <n v="22"/>
    <n v="67.741935483870961"/>
    <b v="1"/>
    <n v="70"/>
    <n v="80.099999999999994"/>
    <n v="75.2"/>
    <n v="76.2"/>
    <n v="75.375"/>
    <s v="B.Tech IT"/>
    <n v="4"/>
    <s v="Group A"/>
    <n v="17"/>
    <n v="10"/>
    <n v="47"/>
    <s v="Core"/>
    <n v="3"/>
    <s v="Faculty G"/>
    <s v="High Performance"/>
    <n v="1"/>
    <n v="0"/>
    <n v="0"/>
    <n v="10"/>
    <x v="1"/>
  </r>
  <r>
    <s v="STU046"/>
    <x v="4"/>
    <n v="38"/>
    <n v="21"/>
    <n v="73.68421052631578"/>
    <b v="1"/>
    <n v="79.099999999999994"/>
    <n v="77.8"/>
    <n v="100"/>
    <n v="91.3"/>
    <n v="87.05"/>
    <s v="B.Tech IT"/>
    <n v="4"/>
    <s v="Group A"/>
    <n v="19"/>
    <n v="8"/>
    <n v="57"/>
    <s v="Elective"/>
    <n v="3"/>
    <s v="Faculty F"/>
    <s v="High Performance"/>
    <n v="1"/>
    <n v="0"/>
    <n v="0"/>
    <n v="8"/>
    <x v="1"/>
  </r>
  <r>
    <s v="STU047"/>
    <x v="0"/>
    <n v="24"/>
    <n v="28"/>
    <n v="70.833333333333343"/>
    <b v="1"/>
    <n v="41.1"/>
    <n v="52.2"/>
    <n v="1.2"/>
    <n v="52.9"/>
    <n v="36.85"/>
    <s v="B.E. CSE"/>
    <n v="6"/>
    <s v="Group A"/>
    <n v="16"/>
    <n v="7"/>
    <n v="55"/>
    <s v="Core"/>
    <n v="4"/>
    <s v="Faculty A"/>
    <s v="Needs Support"/>
    <n v="1"/>
    <n v="0"/>
    <n v="0"/>
    <n v="7"/>
    <x v="0"/>
  </r>
  <r>
    <s v="STU047"/>
    <x v="6"/>
    <n v="34"/>
    <n v="17"/>
    <n v="61.764705882352942"/>
    <b v="1"/>
    <n v="16.7"/>
    <n v="53.2"/>
    <n v="52.2"/>
    <n v="54.4"/>
    <n v="44.125"/>
    <s v="B.E. CSE"/>
    <n v="6"/>
    <s v="Group A"/>
    <n v="14"/>
    <n v="7"/>
    <n v="52"/>
    <s v="Core"/>
    <n v="3"/>
    <s v="Faculty B"/>
    <s v="Developing"/>
    <n v="1"/>
    <n v="0"/>
    <n v="0"/>
    <n v="7"/>
    <x v="0"/>
  </r>
  <r>
    <s v="STU047"/>
    <x v="1"/>
    <n v="25"/>
    <n v="21"/>
    <n v="52"/>
    <b v="1"/>
    <n v="34.799999999999997"/>
    <n v="42.1"/>
    <n v="36.1"/>
    <n v="44.9"/>
    <n v="39.475000000000001"/>
    <s v="B.E. CSE"/>
    <n v="6"/>
    <s v="Group A"/>
    <m/>
    <n v="5"/>
    <m/>
    <s v="Practical"/>
    <n v="2"/>
    <s v="Faculty A"/>
    <s v="Needs Support"/>
    <n v="1"/>
    <n v="1"/>
    <n v="0"/>
    <n v="5"/>
    <x v="0"/>
  </r>
  <r>
    <s v="STU047"/>
    <x v="7"/>
    <n v="27"/>
    <n v="13"/>
    <n v="33.333333333333329"/>
    <b v="1"/>
    <n v="36"/>
    <n v="44.4"/>
    <n v="28.4"/>
    <n v="48.5"/>
    <n v="39.325000000000003"/>
    <s v="B.E. CSE"/>
    <n v="6"/>
    <s v="Group A"/>
    <n v="23"/>
    <n v="5"/>
    <n v="51"/>
    <s v="Core"/>
    <n v="4"/>
    <s v="Faculty C"/>
    <s v="Needs Support"/>
    <n v="1"/>
    <n v="0"/>
    <n v="0"/>
    <n v="5"/>
    <x v="0"/>
  </r>
  <r>
    <s v="STU047"/>
    <x v="4"/>
    <n v="29"/>
    <n v="9"/>
    <n v="37.931034482758619"/>
    <b v="1"/>
    <n v="45.3"/>
    <n v="55.5"/>
    <n v="43.2"/>
    <n v="49.3"/>
    <n v="48.325000000000003"/>
    <s v="B.E. CSE"/>
    <n v="6"/>
    <s v="Group A"/>
    <n v="13"/>
    <n v="12"/>
    <n v="56"/>
    <s v="Elective"/>
    <n v="3"/>
    <s v="Faculty F"/>
    <s v="Developing"/>
    <n v="1"/>
    <n v="0"/>
    <n v="0"/>
    <n v="12"/>
    <x v="0"/>
  </r>
  <r>
    <s v="STU047"/>
    <x v="5"/>
    <n v="38"/>
    <n v="11"/>
    <n v="50"/>
    <b v="1"/>
    <n v="60.6"/>
    <n v="59.1"/>
    <n v="49.2"/>
    <n v="59.7"/>
    <n v="57.150000000000013"/>
    <s v="B.E. CSE"/>
    <n v="6"/>
    <s v="Group A"/>
    <n v="11"/>
    <n v="9"/>
    <n v="30"/>
    <s v="Foundation"/>
    <n v="4"/>
    <s v="Faculty E"/>
    <s v="Developing"/>
    <n v="1"/>
    <n v="0"/>
    <n v="0"/>
    <n v="9"/>
    <x v="0"/>
  </r>
  <r>
    <s v="STU048"/>
    <x v="0"/>
    <n v="28"/>
    <n v="19"/>
    <n v="57.142857142857139"/>
    <b v="1"/>
    <n v="82"/>
    <n v="74.2"/>
    <n v="69.8"/>
    <n v="76.7"/>
    <n v="75.674999999999997"/>
    <s v="B.E. CSE"/>
    <n v="6"/>
    <s v="Group A"/>
    <n v="20"/>
    <n v="9"/>
    <n v="55"/>
    <s v="Core"/>
    <n v="4"/>
    <s v="Faculty A"/>
    <s v="High Performance"/>
    <n v="1"/>
    <n v="0"/>
    <n v="0"/>
    <n v="9"/>
    <x v="1"/>
  </r>
  <r>
    <s v="STU048"/>
    <x v="2"/>
    <n v="39"/>
    <n v="16"/>
    <n v="69.230769230769226"/>
    <b v="1"/>
    <n v="70.7"/>
    <n v="75"/>
    <n v="60.5"/>
    <n v="73.5"/>
    <n v="69.924999999999997"/>
    <s v="B.E. CSE"/>
    <n v="6"/>
    <s v="Group A"/>
    <n v="26"/>
    <n v="9"/>
    <n v="60"/>
    <s v="Core"/>
    <n v="3"/>
    <s v="Faculty D"/>
    <s v="Good"/>
    <n v="1"/>
    <n v="0"/>
    <n v="0"/>
    <n v="9"/>
    <x v="1"/>
  </r>
  <r>
    <s v="STU048"/>
    <x v="7"/>
    <n v="27"/>
    <n v="27"/>
    <n v="59.259259259259252"/>
    <b v="1"/>
    <n v="89.9"/>
    <n v="83.6"/>
    <n v="87.8"/>
    <n v="81.2"/>
    <n v="85.625"/>
    <s v="B.E. CSE"/>
    <n v="6"/>
    <s v="Group A"/>
    <n v="25"/>
    <n v="8"/>
    <n v="70"/>
    <s v="Core"/>
    <n v="4"/>
    <s v="Faculty C"/>
    <s v="High Performance"/>
    <n v="1"/>
    <n v="0"/>
    <n v="0"/>
    <n v="8"/>
    <x v="1"/>
  </r>
  <r>
    <s v="STU048"/>
    <x v="5"/>
    <n v="34"/>
    <n v="16"/>
    <n v="50"/>
    <b v="1"/>
    <n v="77.3"/>
    <n v="85.8"/>
    <n v="83.5"/>
    <n v="74"/>
    <n v="80.150000000000006"/>
    <s v="B.E. CSE"/>
    <n v="6"/>
    <s v="Group A"/>
    <n v="9"/>
    <n v="8"/>
    <n v="44"/>
    <s v="Foundation"/>
    <n v="4"/>
    <s v="Faculty E"/>
    <s v="High Performance"/>
    <n v="1"/>
    <n v="0"/>
    <n v="0"/>
    <n v="8"/>
    <x v="1"/>
  </r>
  <r>
    <s v="STU049"/>
    <x v="6"/>
    <n v="36"/>
    <n v="17"/>
    <n v="36.111111111111107"/>
    <b v="1"/>
    <n v="43.2"/>
    <n v="58.3"/>
    <n v="52.6"/>
    <n v="62.9"/>
    <n v="54.25"/>
    <s v="B.Tech IT"/>
    <n v="4"/>
    <s v="Group B"/>
    <n v="12"/>
    <n v="8"/>
    <n v="37"/>
    <s v="Core"/>
    <n v="3"/>
    <s v="Faculty B"/>
    <s v="Developing"/>
    <n v="1"/>
    <n v="0"/>
    <n v="0"/>
    <n v="8"/>
    <x v="0"/>
  </r>
  <r>
    <s v="STU049"/>
    <x v="1"/>
    <n v="31"/>
    <n v="13"/>
    <n v="58.064516129032263"/>
    <b v="1"/>
    <n v="53.4"/>
    <n v="63.6"/>
    <n v="72.7"/>
    <n v="76"/>
    <n v="66.424999999999997"/>
    <s v="B.Tech IT"/>
    <n v="4"/>
    <s v="Group B"/>
    <n v="12"/>
    <n v="7"/>
    <n v="43"/>
    <s v="Practical"/>
    <n v="2"/>
    <s v="Faculty A"/>
    <s v="Good"/>
    <n v="1"/>
    <n v="0"/>
    <n v="0"/>
    <n v="7"/>
    <x v="1"/>
  </r>
  <r>
    <s v="STU049"/>
    <x v="7"/>
    <n v="34"/>
    <n v="18"/>
    <n v="41.17647058823529"/>
    <b v="1"/>
    <n v="71.2"/>
    <n v="75.599999999999994"/>
    <n v="38.6"/>
    <n v="71.900000000000006"/>
    <n v="64.325000000000003"/>
    <s v="B.Tech IT"/>
    <n v="4"/>
    <s v="Group B"/>
    <n v="19"/>
    <n v="6"/>
    <n v="54"/>
    <s v="Core"/>
    <n v="4"/>
    <s v="Faculty C"/>
    <s v="Good"/>
    <n v="1"/>
    <n v="0"/>
    <n v="0"/>
    <n v="6"/>
    <x v="1"/>
  </r>
  <r>
    <s v="STU049"/>
    <x v="5"/>
    <n v="27"/>
    <n v="14"/>
    <n v="85.18518518518519"/>
    <b v="1"/>
    <n v="47.9"/>
    <n v="97.8"/>
    <n v="53.1"/>
    <m/>
    <n v="66.266666666666666"/>
    <s v="B.Tech IT"/>
    <n v="4"/>
    <s v="Group B"/>
    <n v="24"/>
    <n v="6"/>
    <n v="68"/>
    <s v="Foundation"/>
    <n v="4"/>
    <s v="Faculty E"/>
    <s v="Good"/>
    <n v="0"/>
    <n v="0"/>
    <n v="1"/>
    <n v="6"/>
    <x v="1"/>
  </r>
  <r>
    <s v="STU050"/>
    <x v="6"/>
    <n v="30"/>
    <n v="23"/>
    <n v="60"/>
    <b v="1"/>
    <n v="76"/>
    <n v="81.400000000000006"/>
    <n v="57.8"/>
    <n v="66.7"/>
    <n v="70.474999999999994"/>
    <s v="B.E. CSE"/>
    <n v="6"/>
    <s v="Group A"/>
    <n v="14"/>
    <n v="7"/>
    <n v="52"/>
    <s v="Core"/>
    <n v="3"/>
    <s v="Faculty B"/>
    <s v="Good"/>
    <n v="1"/>
    <n v="0"/>
    <n v="0"/>
    <n v="7"/>
    <x v="1"/>
  </r>
  <r>
    <s v="STU050"/>
    <x v="1"/>
    <n v="36"/>
    <n v="18"/>
    <n v="69.444444444444443"/>
    <b v="1"/>
    <n v="46.3"/>
    <n v="48.6"/>
    <n v="25.9"/>
    <n v="62.4"/>
    <n v="45.8"/>
    <s v="B.E. CSE"/>
    <n v="6"/>
    <s v="Group A"/>
    <n v="7"/>
    <n v="6"/>
    <n v="28"/>
    <s v="Practical"/>
    <n v="2"/>
    <s v="Faculty A"/>
    <s v="Developing"/>
    <n v="1"/>
    <n v="0"/>
    <n v="0"/>
    <n v="6"/>
    <x v="0"/>
  </r>
  <r>
    <s v="STU050"/>
    <x v="7"/>
    <n v="26"/>
    <n v="25"/>
    <n v="61.53846153846154"/>
    <b v="1"/>
    <n v="87.2"/>
    <n v="78.2"/>
    <n v="57.3"/>
    <n v="91.9"/>
    <n v="78.650000000000006"/>
    <s v="B.E. CSE"/>
    <n v="6"/>
    <s v="Group A"/>
    <n v="17"/>
    <n v="9"/>
    <n v="48"/>
    <s v="Core"/>
    <n v="4"/>
    <s v="Faculty C"/>
    <s v="High Performance"/>
    <n v="1"/>
    <n v="0"/>
    <n v="0"/>
    <n v="9"/>
    <x v="1"/>
  </r>
  <r>
    <s v="STU050"/>
    <x v="4"/>
    <n v="31"/>
    <n v="16"/>
    <n v="51.612903225806448"/>
    <b v="1"/>
    <n v="63.9"/>
    <n v="53.4"/>
    <n v="97.1"/>
    <n v="53.5"/>
    <n v="66.974999999999994"/>
    <s v="B.E. CSE"/>
    <n v="6"/>
    <s v="Group A"/>
    <n v="10"/>
    <n v="10"/>
    <n v="52"/>
    <s v="Elective"/>
    <n v="3"/>
    <s v="Faculty F"/>
    <s v="Good"/>
    <n v="1"/>
    <n v="0"/>
    <n v="0"/>
    <n v="10"/>
    <x v="1"/>
  </r>
  <r>
    <s v="STU051"/>
    <x v="0"/>
    <n v="38"/>
    <n v="16"/>
    <n v="63.157894736842103"/>
    <b v="1"/>
    <n v="58.5"/>
    <n v="57.8"/>
    <n v="50.1"/>
    <n v="56.4"/>
    <n v="55.7"/>
    <s v="B.E. CSE"/>
    <n v="4"/>
    <s v="Group C"/>
    <n v="19"/>
    <n v="8"/>
    <n v="48"/>
    <s v="Core"/>
    <n v="4"/>
    <s v="Faculty A"/>
    <s v="Developing"/>
    <n v="1"/>
    <n v="0"/>
    <n v="0"/>
    <n v="8"/>
    <x v="0"/>
  </r>
  <r>
    <s v="STU051"/>
    <x v="6"/>
    <n v="26"/>
    <n v="24"/>
    <n v="65.384615384615387"/>
    <b v="1"/>
    <n v="82.8"/>
    <n v="87.2"/>
    <n v="47.6"/>
    <n v="79.099999999999994"/>
    <n v="74.174999999999997"/>
    <s v="B.E. CSE"/>
    <n v="4"/>
    <s v="Group C"/>
    <n v="13"/>
    <n v="9"/>
    <n v="32"/>
    <s v="Core"/>
    <n v="3"/>
    <s v="Faculty B"/>
    <s v="Good"/>
    <n v="1"/>
    <n v="0"/>
    <n v="0"/>
    <n v="9"/>
    <x v="1"/>
  </r>
  <r>
    <s v="STU051"/>
    <x v="2"/>
    <n v="35"/>
    <n v="17"/>
    <n v="42.857142857142847"/>
    <b v="1"/>
    <n v="60"/>
    <n v="55.5"/>
    <n v="68.400000000000006"/>
    <n v="61"/>
    <n v="61.225000000000001"/>
    <s v="B.E. CSE"/>
    <n v="4"/>
    <s v="Group C"/>
    <n v="8"/>
    <n v="10"/>
    <n v="30"/>
    <s v="Core"/>
    <n v="3"/>
    <s v="Faculty D"/>
    <s v="Good"/>
    <n v="1"/>
    <n v="0"/>
    <n v="0"/>
    <n v="10"/>
    <x v="1"/>
  </r>
  <r>
    <s v="STU051"/>
    <x v="3"/>
    <n v="34"/>
    <n v="15"/>
    <n v="50"/>
    <b v="1"/>
    <n v="61.6"/>
    <n v="63.8"/>
    <n v="52.7"/>
    <n v="45.7"/>
    <n v="55.95"/>
    <s v="B.E. CSE"/>
    <n v="4"/>
    <s v="Group C"/>
    <n v="14"/>
    <n v="7"/>
    <n v="53"/>
    <s v="Core"/>
    <n v="3"/>
    <s v="Faculty G"/>
    <s v="Developing"/>
    <n v="1"/>
    <n v="0"/>
    <n v="0"/>
    <n v="7"/>
    <x v="0"/>
  </r>
  <r>
    <s v="STU051"/>
    <x v="7"/>
    <n v="36"/>
    <n v="17"/>
    <n v="72.222222222222214"/>
    <b v="1"/>
    <n v="17.5"/>
    <n v="37.700000000000003"/>
    <n v="68.3"/>
    <n v="53.8"/>
    <n v="44.325000000000003"/>
    <s v="B.E. CSE"/>
    <n v="4"/>
    <s v="Group C"/>
    <n v="14"/>
    <n v="11"/>
    <n v="57"/>
    <s v="Core"/>
    <n v="4"/>
    <s v="Faculty C"/>
    <s v="Developing"/>
    <n v="1"/>
    <n v="0"/>
    <n v="0"/>
    <n v="11"/>
    <x v="0"/>
  </r>
  <r>
    <s v="STU051"/>
    <x v="5"/>
    <n v="40"/>
    <n v="26"/>
    <n v="52.5"/>
    <b v="1"/>
    <n v="68.099999999999994"/>
    <n v="59.6"/>
    <n v="35.6"/>
    <n v="66.3"/>
    <n v="57.399999999999991"/>
    <s v="B.E. CSE"/>
    <n v="4"/>
    <s v="Group C"/>
    <n v="14"/>
    <n v="12"/>
    <n v="45"/>
    <s v="Foundation"/>
    <n v="4"/>
    <s v="Faculty E"/>
    <s v="Developing"/>
    <n v="1"/>
    <n v="0"/>
    <n v="0"/>
    <n v="12"/>
    <x v="0"/>
  </r>
  <r>
    <s v="STU052"/>
    <x v="6"/>
    <n v="26"/>
    <n v="21"/>
    <n v="65.384615384615387"/>
    <b v="1"/>
    <n v="89.7"/>
    <n v="58.5"/>
    <n v="63.9"/>
    <n v="76"/>
    <n v="72.025000000000006"/>
    <s v="B.E. CSE"/>
    <n v="5"/>
    <s v="Group A"/>
    <n v="14"/>
    <n v="9"/>
    <n v="31"/>
    <s v="Core"/>
    <n v="3"/>
    <s v="Faculty B"/>
    <s v="Good"/>
    <n v="1"/>
    <n v="0"/>
    <n v="0"/>
    <n v="9"/>
    <x v="1"/>
  </r>
  <r>
    <s v="STU052"/>
    <x v="1"/>
    <n v="31"/>
    <n v="17"/>
    <n v="51.612903225806448"/>
    <b v="1"/>
    <n v="57.4"/>
    <n v="92.7"/>
    <n v="61.4"/>
    <n v="85.6"/>
    <n v="74.275000000000006"/>
    <s v="B.E. CSE"/>
    <n v="5"/>
    <s v="Group A"/>
    <n v="16"/>
    <n v="9"/>
    <n v="37"/>
    <s v="Practical"/>
    <n v="2"/>
    <s v="Faculty A"/>
    <s v="Good"/>
    <n v="1"/>
    <n v="0"/>
    <n v="0"/>
    <n v="9"/>
    <x v="1"/>
  </r>
  <r>
    <s v="STU052"/>
    <x v="3"/>
    <n v="35"/>
    <n v="16"/>
    <n v="68.571428571428569"/>
    <b v="1"/>
    <n v="83"/>
    <n v="62.3"/>
    <n v="77.5"/>
    <n v="73.3"/>
    <n v="74.025000000000006"/>
    <s v="B.E. CSE"/>
    <n v="5"/>
    <s v="Group A"/>
    <n v="5"/>
    <n v="5"/>
    <n v="20"/>
    <s v="Core"/>
    <n v="3"/>
    <s v="Faculty G"/>
    <s v="Good"/>
    <n v="1"/>
    <n v="0"/>
    <n v="0"/>
    <n v="5"/>
    <x v="1"/>
  </r>
  <r>
    <s v="STU052"/>
    <x v="7"/>
    <n v="29"/>
    <n v="24"/>
    <n v="82.758620689655174"/>
    <b v="1"/>
    <n v="86.3"/>
    <n v="66.599999999999994"/>
    <n v="74.3"/>
    <n v="68.400000000000006"/>
    <n v="73.900000000000006"/>
    <s v="B.E. CSE"/>
    <n v="5"/>
    <s v="Group A"/>
    <n v="19"/>
    <n v="8"/>
    <n v="55"/>
    <s v="Core"/>
    <n v="4"/>
    <s v="Faculty C"/>
    <s v="Good"/>
    <n v="0"/>
    <n v="0"/>
    <n v="0"/>
    <n v="8"/>
    <x v="1"/>
  </r>
  <r>
    <s v="STU053"/>
    <x v="0"/>
    <n v="30"/>
    <n v="24"/>
    <n v="53.333333333333343"/>
    <b v="1"/>
    <m/>
    <n v="69"/>
    <n v="52.6"/>
    <n v="49.1"/>
    <n v="56.9"/>
    <s v="B.Tech IT"/>
    <n v="4"/>
    <s v="Group C"/>
    <n v="16"/>
    <n v="8"/>
    <n v="55"/>
    <s v="Core"/>
    <n v="4"/>
    <s v="Faculty A"/>
    <s v="Developing"/>
    <n v="1"/>
    <n v="0"/>
    <n v="1"/>
    <n v="8"/>
    <x v="0"/>
  </r>
  <r>
    <s v="STU053"/>
    <x v="6"/>
    <n v="31"/>
    <n v="16"/>
    <n v="80.645161290322577"/>
    <b v="1"/>
    <m/>
    <n v="59"/>
    <n v="46.2"/>
    <n v="55"/>
    <n v="53.4"/>
    <s v="B.Tech IT"/>
    <n v="4"/>
    <s v="Group C"/>
    <n v="30"/>
    <n v="10"/>
    <n v="71"/>
    <s v="Core"/>
    <n v="3"/>
    <s v="Faculty B"/>
    <s v="Developing"/>
    <n v="0"/>
    <n v="0"/>
    <n v="1"/>
    <n v="10"/>
    <x v="1"/>
  </r>
  <r>
    <s v="STU053"/>
    <x v="1"/>
    <n v="33"/>
    <n v="25"/>
    <n v="69.696969696969703"/>
    <b v="1"/>
    <n v="50.4"/>
    <n v="71.400000000000006"/>
    <n v="60.5"/>
    <n v="58.3"/>
    <n v="60.150000000000013"/>
    <s v="B.Tech IT"/>
    <n v="4"/>
    <s v="Group C"/>
    <n v="23"/>
    <n v="8"/>
    <n v="68"/>
    <s v="Practical"/>
    <n v="2"/>
    <s v="Faculty A"/>
    <s v="Good"/>
    <n v="1"/>
    <n v="0"/>
    <n v="0"/>
    <n v="8"/>
    <x v="1"/>
  </r>
  <r>
    <s v="STU053"/>
    <x v="3"/>
    <n v="40"/>
    <n v="23"/>
    <n v="92.5"/>
    <b v="1"/>
    <n v="52.4"/>
    <n v="63.6"/>
    <n v="69.2"/>
    <n v="59.3"/>
    <n v="61.125"/>
    <s v="B.Tech IT"/>
    <n v="4"/>
    <s v="Group C"/>
    <n v="16"/>
    <n v="11"/>
    <n v="52"/>
    <s v="Core"/>
    <n v="3"/>
    <s v="Faculty G"/>
    <s v="Good"/>
    <n v="0"/>
    <n v="0"/>
    <n v="0"/>
    <n v="11"/>
    <x v="1"/>
  </r>
  <r>
    <s v="STU053"/>
    <x v="5"/>
    <n v="38"/>
    <n v="37"/>
    <n v="42.105263157894733"/>
    <b v="1"/>
    <n v="58.3"/>
    <n v="59"/>
    <n v="61"/>
    <n v="50.9"/>
    <n v="57.3"/>
    <s v="B.Tech IT"/>
    <n v="4"/>
    <s v="Group C"/>
    <n v="17"/>
    <n v="11"/>
    <n v="55"/>
    <s v="Foundation"/>
    <n v="4"/>
    <s v="Faculty E"/>
    <s v="Developing"/>
    <n v="1"/>
    <n v="0"/>
    <n v="0"/>
    <n v="11"/>
    <x v="0"/>
  </r>
  <r>
    <s v="STU054"/>
    <x v="0"/>
    <n v="33"/>
    <n v="16"/>
    <n v="66.666666666666657"/>
    <b v="1"/>
    <n v="65.400000000000006"/>
    <n v="72.900000000000006"/>
    <n v="69.5"/>
    <n v="91"/>
    <n v="74.7"/>
    <s v="B.Tech IT"/>
    <n v="6"/>
    <s v="Group A"/>
    <n v="14"/>
    <n v="11"/>
    <n v="47"/>
    <s v="Core"/>
    <n v="4"/>
    <s v="Faculty A"/>
    <s v="Good"/>
    <n v="1"/>
    <n v="0"/>
    <n v="0"/>
    <n v="11"/>
    <x v="1"/>
  </r>
  <r>
    <s v="STU054"/>
    <x v="6"/>
    <n v="36"/>
    <n v="22"/>
    <n v="66.666666666666657"/>
    <b v="1"/>
    <n v="70.8"/>
    <n v="75.2"/>
    <n v="75.400000000000006"/>
    <n v="84.8"/>
    <n v="76.55"/>
    <s v="B.Tech IT"/>
    <n v="6"/>
    <s v="Group A"/>
    <n v="23"/>
    <n v="7"/>
    <n v="53"/>
    <s v="Core"/>
    <n v="3"/>
    <s v="Faculty B"/>
    <s v="High Performance"/>
    <n v="1"/>
    <n v="0"/>
    <n v="0"/>
    <n v="7"/>
    <x v="1"/>
  </r>
  <r>
    <s v="STU054"/>
    <x v="1"/>
    <n v="35"/>
    <n v="24"/>
    <n v="62.857142857142847"/>
    <b v="1"/>
    <n v="50.9"/>
    <n v="65.099999999999994"/>
    <n v="55.9"/>
    <n v="65.5"/>
    <n v="59.35"/>
    <s v="B.Tech IT"/>
    <n v="6"/>
    <s v="Group A"/>
    <n v="16"/>
    <n v="11"/>
    <n v="51"/>
    <s v="Practical"/>
    <n v="2"/>
    <s v="Faculty A"/>
    <s v="Developing"/>
    <n v="1"/>
    <n v="0"/>
    <n v="0"/>
    <n v="11"/>
    <x v="0"/>
  </r>
  <r>
    <s v="STU054"/>
    <x v="2"/>
    <n v="29"/>
    <n v="22"/>
    <n v="55.172413793103438"/>
    <b v="1"/>
    <n v="62.1"/>
    <n v="94.8"/>
    <n v="53.6"/>
    <n v="90.5"/>
    <n v="75.25"/>
    <s v="B.Tech IT"/>
    <n v="6"/>
    <s v="Group A"/>
    <n v="14"/>
    <n v="13"/>
    <n v="51"/>
    <s v="Core"/>
    <n v="3"/>
    <s v="Faculty D"/>
    <s v="High Performance"/>
    <n v="1"/>
    <n v="0"/>
    <n v="0"/>
    <n v="13"/>
    <x v="1"/>
  </r>
  <r>
    <s v="STU054"/>
    <x v="3"/>
    <n v="32"/>
    <n v="16"/>
    <n v="65.625"/>
    <b v="1"/>
    <n v="58.5"/>
    <n v="76.599999999999994"/>
    <n v="45.9"/>
    <n v="63"/>
    <n v="61"/>
    <s v="B.Tech IT"/>
    <n v="6"/>
    <s v="Group A"/>
    <n v="19"/>
    <n v="11"/>
    <n v="65"/>
    <s v="Core"/>
    <n v="3"/>
    <s v="Faculty G"/>
    <s v="Good"/>
    <n v="1"/>
    <n v="0"/>
    <n v="0"/>
    <n v="11"/>
    <x v="1"/>
  </r>
  <r>
    <s v="STU054"/>
    <x v="5"/>
    <n v="38"/>
    <n v="21"/>
    <n v="44.736842105263158"/>
    <b v="1"/>
    <n v="85.9"/>
    <n v="67.099999999999994"/>
    <n v="68.5"/>
    <n v="62.1"/>
    <n v="70.900000000000006"/>
    <s v="B.Tech IT"/>
    <n v="6"/>
    <s v="Group A"/>
    <n v="10"/>
    <n v="11"/>
    <n v="34"/>
    <s v="Foundation"/>
    <n v="4"/>
    <s v="Faculty E"/>
    <s v="Good"/>
    <n v="1"/>
    <n v="0"/>
    <n v="0"/>
    <n v="11"/>
    <x v="1"/>
  </r>
  <r>
    <s v="STU055"/>
    <x v="0"/>
    <n v="39"/>
    <n v="17"/>
    <n v="43.589743589743591"/>
    <b v="1"/>
    <n v="70.900000000000006"/>
    <n v="68.5"/>
    <n v="83.7"/>
    <n v="63.4"/>
    <n v="71.625"/>
    <s v="B.Tech IT"/>
    <n v="3"/>
    <s v="Group C"/>
    <n v="30"/>
    <n v="8"/>
    <n v="76"/>
    <s v="Core"/>
    <n v="4"/>
    <s v="Faculty A"/>
    <s v="Good"/>
    <n v="1"/>
    <n v="0"/>
    <n v="0"/>
    <n v="8"/>
    <x v="1"/>
  </r>
  <r>
    <s v="STU055"/>
    <x v="1"/>
    <n v="34"/>
    <n v="17"/>
    <n v="58.82352941176471"/>
    <b v="1"/>
    <n v="35.6"/>
    <n v="52.7"/>
    <n v="60.3"/>
    <n v="66.900000000000006"/>
    <n v="53.875000000000007"/>
    <s v="B.Tech IT"/>
    <n v="3"/>
    <s v="Group C"/>
    <n v="20"/>
    <n v="9"/>
    <n v="63"/>
    <s v="Practical"/>
    <n v="2"/>
    <s v="Faculty A"/>
    <s v="Developing"/>
    <n v="1"/>
    <n v="0"/>
    <n v="0"/>
    <n v="9"/>
    <x v="0"/>
  </r>
  <r>
    <s v="STU055"/>
    <x v="7"/>
    <n v="33"/>
    <n v="20"/>
    <n v="57.575757575757578"/>
    <b v="1"/>
    <n v="45.1"/>
    <n v="62.6"/>
    <n v="61.2"/>
    <n v="54.8"/>
    <n v="55.924999999999997"/>
    <s v="B.Tech IT"/>
    <n v="3"/>
    <s v="Group C"/>
    <n v="17"/>
    <n v="7"/>
    <n v="46"/>
    <s v="Core"/>
    <n v="4"/>
    <s v="Faculty C"/>
    <s v="Developing"/>
    <n v="1"/>
    <n v="0"/>
    <n v="0"/>
    <n v="7"/>
    <x v="0"/>
  </r>
  <r>
    <s v="STU055"/>
    <x v="4"/>
    <n v="25"/>
    <n v="19"/>
    <n v="64"/>
    <b v="1"/>
    <n v="54.6"/>
    <m/>
    <n v="57.3"/>
    <n v="65.400000000000006"/>
    <n v="59.1"/>
    <s v="B.Tech IT"/>
    <n v="3"/>
    <s v="Group C"/>
    <n v="12"/>
    <n v="9"/>
    <n v="40"/>
    <s v="Elective"/>
    <n v="3"/>
    <s v="Faculty F"/>
    <s v="Developing"/>
    <n v="1"/>
    <n v="0"/>
    <n v="1"/>
    <n v="9"/>
    <x v="0"/>
  </r>
  <r>
    <s v="STU055"/>
    <x v="5"/>
    <n v="39"/>
    <n v="16"/>
    <n v="48.717948717948723"/>
    <b v="1"/>
    <n v="41.1"/>
    <m/>
    <n v="53.7"/>
    <n v="59.7"/>
    <n v="51.5"/>
    <s v="B.Tech IT"/>
    <n v="3"/>
    <s v="Group C"/>
    <n v="19"/>
    <n v="9"/>
    <n v="56"/>
    <s v="Foundation"/>
    <n v="4"/>
    <s v="Faculty E"/>
    <s v="Developing"/>
    <n v="1"/>
    <n v="0"/>
    <n v="1"/>
    <n v="9"/>
    <x v="0"/>
  </r>
  <r>
    <s v="STU056"/>
    <x v="0"/>
    <n v="29"/>
    <n v="19"/>
    <n v="55.172413793103438"/>
    <b v="1"/>
    <n v="33.200000000000003"/>
    <n v="47.1"/>
    <n v="49.5"/>
    <n v="46.7"/>
    <n v="44.125"/>
    <s v="B.Tech IT"/>
    <n v="3"/>
    <s v="Group C"/>
    <n v="16"/>
    <n v="10"/>
    <n v="37"/>
    <s v="Core"/>
    <n v="4"/>
    <s v="Faculty A"/>
    <s v="Developing"/>
    <n v="1"/>
    <n v="0"/>
    <n v="0"/>
    <n v="10"/>
    <x v="0"/>
  </r>
  <r>
    <s v="STU056"/>
    <x v="6"/>
    <n v="25"/>
    <n v="16"/>
    <n v="52"/>
    <b v="1"/>
    <n v="63.4"/>
    <n v="67.400000000000006"/>
    <n v="64.3"/>
    <n v="58"/>
    <n v="63.275000000000013"/>
    <s v="B.Tech IT"/>
    <n v="3"/>
    <s v="Group C"/>
    <n v="18"/>
    <n v="7"/>
    <n v="47"/>
    <s v="Core"/>
    <n v="3"/>
    <s v="Faculty B"/>
    <s v="Good"/>
    <n v="1"/>
    <n v="0"/>
    <n v="0"/>
    <n v="7"/>
    <x v="1"/>
  </r>
  <r>
    <s v="STU056"/>
    <x v="3"/>
    <n v="37"/>
    <n v="13"/>
    <n v="43.243243243243242"/>
    <b v="1"/>
    <n v="70.7"/>
    <n v="77.2"/>
    <m/>
    <n v="76.400000000000006"/>
    <n v="74.766666666666666"/>
    <s v="B.Tech IT"/>
    <n v="3"/>
    <s v="Group C"/>
    <n v="7"/>
    <n v="10"/>
    <n v="34"/>
    <s v="Core"/>
    <n v="3"/>
    <s v="Faculty G"/>
    <s v="Good"/>
    <n v="1"/>
    <n v="0"/>
    <n v="1"/>
    <n v="10"/>
    <x v="1"/>
  </r>
  <r>
    <s v="STU056"/>
    <x v="7"/>
    <n v="29"/>
    <n v="16"/>
    <n v="68.965517241379317"/>
    <b v="1"/>
    <n v="47.1"/>
    <n v="49"/>
    <n v="47"/>
    <n v="71.099999999999994"/>
    <n v="53.55"/>
    <s v="B.Tech IT"/>
    <n v="3"/>
    <s v="Group C"/>
    <n v="21"/>
    <n v="6"/>
    <n v="49"/>
    <s v="Core"/>
    <n v="4"/>
    <s v="Faculty C"/>
    <s v="Developing"/>
    <n v="1"/>
    <n v="0"/>
    <n v="0"/>
    <n v="6"/>
    <x v="0"/>
  </r>
  <r>
    <s v="STU057"/>
    <x v="1"/>
    <n v="34"/>
    <n v="20"/>
    <n v="64.705882352941174"/>
    <b v="1"/>
    <n v="31.9"/>
    <n v="61.6"/>
    <n v="43.7"/>
    <n v="52.8"/>
    <n v="47.5"/>
    <s v="B.E. ECE"/>
    <n v="4"/>
    <s v="Group C"/>
    <n v="17"/>
    <n v="10"/>
    <n v="38"/>
    <s v="Practical"/>
    <n v="2"/>
    <s v="Faculty A"/>
    <s v="Developing"/>
    <n v="1"/>
    <n v="0"/>
    <n v="0"/>
    <n v="10"/>
    <x v="0"/>
  </r>
  <r>
    <s v="STU057"/>
    <x v="2"/>
    <n v="24"/>
    <n v="22"/>
    <n v="70.833333333333343"/>
    <b v="1"/>
    <n v="69.400000000000006"/>
    <n v="66.900000000000006"/>
    <n v="36.799999999999997"/>
    <n v="75.099999999999994"/>
    <n v="62.05"/>
    <s v="B.E. ECE"/>
    <n v="4"/>
    <s v="Group C"/>
    <n v="29"/>
    <n v="11"/>
    <n v="85"/>
    <s v="Core"/>
    <n v="3"/>
    <s v="Faculty D"/>
    <s v="Good"/>
    <n v="1"/>
    <n v="0"/>
    <n v="0"/>
    <n v="11"/>
    <x v="1"/>
  </r>
  <r>
    <s v="STU057"/>
    <x v="4"/>
    <n v="27"/>
    <n v="17"/>
    <n v="81.481481481481481"/>
    <b v="1"/>
    <n v="67.400000000000006"/>
    <n v="57.1"/>
    <n v="62.6"/>
    <n v="73.8"/>
    <n v="65.224999999999994"/>
    <s v="B.E. ECE"/>
    <n v="4"/>
    <s v="Group C"/>
    <n v="23"/>
    <n v="10"/>
    <n v="51"/>
    <s v="Elective"/>
    <n v="3"/>
    <s v="Faculty F"/>
    <s v="Good"/>
    <n v="0"/>
    <n v="0"/>
    <n v="0"/>
    <n v="10"/>
    <x v="1"/>
  </r>
  <r>
    <s v="STU057"/>
    <x v="5"/>
    <n v="32"/>
    <n v="22"/>
    <n v="59.375"/>
    <b v="1"/>
    <n v="73"/>
    <n v="69.400000000000006"/>
    <n v="72.599999999999994"/>
    <n v="77.7"/>
    <n v="73.174999999999997"/>
    <s v="B.E. ECE"/>
    <n v="4"/>
    <s v="Group C"/>
    <n v="22"/>
    <n v="8"/>
    <n v="60"/>
    <s v="Foundation"/>
    <n v="4"/>
    <s v="Faculty E"/>
    <s v="Good"/>
    <n v="1"/>
    <n v="0"/>
    <n v="0"/>
    <n v="8"/>
    <x v="1"/>
  </r>
  <r>
    <s v="STU058"/>
    <x v="0"/>
    <n v="28"/>
    <n v="19"/>
    <n v="64.285714285714292"/>
    <b v="1"/>
    <n v="48.5"/>
    <n v="86.1"/>
    <n v="75.099999999999994"/>
    <n v="81.099999999999994"/>
    <n v="72.699999999999989"/>
    <s v="B.E. ECE"/>
    <n v="6"/>
    <s v="Group C"/>
    <n v="24"/>
    <n v="9"/>
    <n v="62"/>
    <s v="Core"/>
    <n v="4"/>
    <s v="Faculty A"/>
    <s v="Good"/>
    <n v="1"/>
    <n v="0"/>
    <n v="0"/>
    <n v="9"/>
    <x v="1"/>
  </r>
  <r>
    <s v="STU058"/>
    <x v="1"/>
    <n v="39"/>
    <n v="18"/>
    <n v="43.589743589743591"/>
    <b v="1"/>
    <n v="85.4"/>
    <n v="57.7"/>
    <m/>
    <n v="77.2"/>
    <n v="73.433333333333337"/>
    <s v="B.E. ECE"/>
    <n v="6"/>
    <s v="Group C"/>
    <n v="26"/>
    <n v="11"/>
    <n v="62"/>
    <s v="Practical"/>
    <n v="2"/>
    <s v="Faculty A"/>
    <s v="Good"/>
    <n v="1"/>
    <n v="0"/>
    <n v="1"/>
    <n v="11"/>
    <x v="1"/>
  </r>
  <r>
    <s v="STU058"/>
    <x v="7"/>
    <n v="32"/>
    <n v="17"/>
    <n v="71.875"/>
    <b v="1"/>
    <m/>
    <m/>
    <n v="69.5"/>
    <n v="84.2"/>
    <n v="76.849999999999994"/>
    <s v="B.E. ECE"/>
    <n v="6"/>
    <s v="Group C"/>
    <n v="14"/>
    <n v="10"/>
    <n v="60"/>
    <s v="Core"/>
    <n v="4"/>
    <s v="Faculty C"/>
    <s v="High Performance"/>
    <n v="1"/>
    <n v="0"/>
    <n v="2"/>
    <n v="10"/>
    <x v="1"/>
  </r>
  <r>
    <s v="STU058"/>
    <x v="4"/>
    <n v="31"/>
    <n v="23"/>
    <n v="74.193548387096769"/>
    <b v="1"/>
    <n v="59.1"/>
    <n v="89"/>
    <n v="75.900000000000006"/>
    <n v="92.6"/>
    <n v="79.150000000000006"/>
    <s v="B.E. ECE"/>
    <n v="6"/>
    <s v="Group C"/>
    <n v="19"/>
    <n v="7"/>
    <n v="63"/>
    <s v="Elective"/>
    <n v="3"/>
    <s v="Faculty F"/>
    <s v="High Performance"/>
    <n v="1"/>
    <n v="0"/>
    <n v="0"/>
    <n v="7"/>
    <x v="1"/>
  </r>
  <r>
    <s v="STU059"/>
    <x v="0"/>
    <n v="30"/>
    <n v="23"/>
    <n v="63.333333333333329"/>
    <b v="1"/>
    <n v="89.3"/>
    <n v="100"/>
    <n v="93.9"/>
    <n v="98.5"/>
    <n v="95.424999999999997"/>
    <s v="B.E. CSE"/>
    <n v="6"/>
    <s v="Group B"/>
    <n v="34"/>
    <n v="11"/>
    <n v="86"/>
    <s v="Core"/>
    <n v="4"/>
    <s v="Faculty A"/>
    <s v="High Performance"/>
    <n v="1"/>
    <n v="0"/>
    <n v="0"/>
    <n v="11"/>
    <x v="1"/>
  </r>
  <r>
    <s v="STU059"/>
    <x v="6"/>
    <n v="29"/>
    <n v="19"/>
    <n v="65.517241379310349"/>
    <b v="1"/>
    <n v="74.2"/>
    <n v="84.6"/>
    <n v="67.900000000000006"/>
    <n v="88.8"/>
    <n v="78.875"/>
    <s v="B.E. CSE"/>
    <n v="6"/>
    <s v="Group B"/>
    <n v="16"/>
    <n v="11"/>
    <n v="53"/>
    <s v="Core"/>
    <n v="3"/>
    <s v="Faculty B"/>
    <s v="High Performance"/>
    <n v="1"/>
    <n v="0"/>
    <n v="0"/>
    <n v="11"/>
    <x v="1"/>
  </r>
  <r>
    <s v="STU059"/>
    <x v="7"/>
    <n v="32"/>
    <n v="19"/>
    <n v="78.125"/>
    <b v="1"/>
    <n v="71.599999999999994"/>
    <n v="76.900000000000006"/>
    <n v="84"/>
    <n v="82.3"/>
    <n v="78.7"/>
    <s v="B.E. CSE"/>
    <n v="6"/>
    <s v="Group B"/>
    <n v="21"/>
    <n v="12"/>
    <n v="66"/>
    <s v="Core"/>
    <n v="4"/>
    <s v="Faculty C"/>
    <s v="High Performance"/>
    <n v="0"/>
    <n v="0"/>
    <n v="0"/>
    <n v="12"/>
    <x v="1"/>
  </r>
  <r>
    <s v="STU059"/>
    <x v="5"/>
    <n v="35"/>
    <n v="25"/>
    <n v="60"/>
    <b v="1"/>
    <n v="96.9"/>
    <n v="76.599999999999994"/>
    <n v="81.3"/>
    <n v="96.1"/>
    <n v="87.724999999999994"/>
    <s v="B.E. CSE"/>
    <n v="6"/>
    <s v="Group B"/>
    <n v="22"/>
    <n v="12"/>
    <n v="62"/>
    <s v="Foundation"/>
    <n v="4"/>
    <s v="Faculty E"/>
    <s v="High Performance"/>
    <n v="1"/>
    <n v="0"/>
    <n v="0"/>
    <n v="12"/>
    <x v="1"/>
  </r>
  <r>
    <s v="STU060"/>
    <x v="0"/>
    <n v="25"/>
    <n v="21"/>
    <n v="76"/>
    <b v="1"/>
    <n v="90.4"/>
    <n v="71.400000000000006"/>
    <n v="75.8"/>
    <n v="90.4"/>
    <n v="82"/>
    <s v="B.E. CSE"/>
    <n v="5"/>
    <s v="Group B"/>
    <n v="20"/>
    <n v="10"/>
    <n v="48"/>
    <s v="Core"/>
    <n v="4"/>
    <s v="Faculty A"/>
    <s v="High Performance"/>
    <n v="0"/>
    <n v="0"/>
    <n v="0"/>
    <n v="10"/>
    <x v="1"/>
  </r>
  <r>
    <s v="STU060"/>
    <x v="1"/>
    <n v="31"/>
    <n v="19"/>
    <n v="64.516129032258064"/>
    <b v="1"/>
    <n v="63.9"/>
    <n v="57"/>
    <n v="66.099999999999994"/>
    <n v="56.8"/>
    <n v="60.95"/>
    <s v="B.E. CSE"/>
    <n v="5"/>
    <s v="Group B"/>
    <n v="18"/>
    <n v="9"/>
    <n v="55"/>
    <s v="Practical"/>
    <n v="2"/>
    <s v="Faculty A"/>
    <s v="Good"/>
    <n v="1"/>
    <n v="0"/>
    <n v="0"/>
    <n v="9"/>
    <x v="1"/>
  </r>
  <r>
    <s v="STU060"/>
    <x v="3"/>
    <n v="37"/>
    <n v="20"/>
    <n v="67.567567567567565"/>
    <b v="1"/>
    <n v="84.6"/>
    <n v="71.7"/>
    <n v="67.900000000000006"/>
    <n v="57.4"/>
    <n v="70.400000000000006"/>
    <s v="B.E. CSE"/>
    <n v="5"/>
    <s v="Group B"/>
    <n v="15"/>
    <n v="8"/>
    <n v="38"/>
    <s v="Core"/>
    <n v="3"/>
    <s v="Faculty G"/>
    <s v="Good"/>
    <n v="1"/>
    <n v="0"/>
    <n v="0"/>
    <n v="8"/>
    <x v="1"/>
  </r>
  <r>
    <s v="STU060"/>
    <x v="4"/>
    <n v="28"/>
    <n v="25"/>
    <n v="64.285714285714292"/>
    <b v="1"/>
    <n v="58.4"/>
    <n v="68.7"/>
    <n v="57.2"/>
    <n v="68"/>
    <n v="63.075000000000003"/>
    <s v="B.E. CSE"/>
    <n v="5"/>
    <s v="Group B"/>
    <n v="21"/>
    <n v="7"/>
    <n v="43"/>
    <s v="Elective"/>
    <n v="3"/>
    <s v="Faculty F"/>
    <s v="Good"/>
    <n v="1"/>
    <n v="0"/>
    <n v="0"/>
    <n v="7"/>
    <x v="1"/>
  </r>
  <r>
    <s v="STU061"/>
    <x v="6"/>
    <n v="28"/>
    <n v="18"/>
    <n v="78.571428571428569"/>
    <b v="1"/>
    <n v="44.1"/>
    <n v="71.099999999999994"/>
    <n v="80.400000000000006"/>
    <n v="70.5"/>
    <n v="66.525000000000006"/>
    <s v="B.Tech IT"/>
    <n v="6"/>
    <s v="Group B"/>
    <n v="19"/>
    <n v="4"/>
    <n v="36"/>
    <s v="Core"/>
    <n v="3"/>
    <s v="Faculty B"/>
    <s v="Good"/>
    <n v="0"/>
    <n v="0"/>
    <n v="0"/>
    <n v="4"/>
    <x v="1"/>
  </r>
  <r>
    <s v="STU061"/>
    <x v="1"/>
    <n v="32"/>
    <n v="22"/>
    <n v="62.5"/>
    <b v="1"/>
    <n v="68.5"/>
    <n v="68.7"/>
    <n v="45.1"/>
    <n v="71.2"/>
    <n v="63.375"/>
    <s v="B.Tech IT"/>
    <n v="6"/>
    <s v="Group B"/>
    <n v="12"/>
    <n v="5"/>
    <n v="34"/>
    <s v="Practical"/>
    <n v="2"/>
    <s v="Faculty A"/>
    <s v="Good"/>
    <n v="1"/>
    <n v="0"/>
    <n v="0"/>
    <n v="5"/>
    <x v="1"/>
  </r>
  <r>
    <s v="STU061"/>
    <x v="3"/>
    <n v="33"/>
    <n v="20"/>
    <n v="63.636363636363633"/>
    <b v="1"/>
    <n v="71.099999999999994"/>
    <n v="65.8"/>
    <n v="48.1"/>
    <n v="68.099999999999994"/>
    <n v="63.274999999999991"/>
    <s v="B.Tech IT"/>
    <n v="6"/>
    <s v="Group B"/>
    <n v="19"/>
    <n v="10"/>
    <n v="71"/>
    <s v="Core"/>
    <n v="3"/>
    <s v="Faculty G"/>
    <s v="Good"/>
    <n v="1"/>
    <n v="0"/>
    <n v="0"/>
    <n v="10"/>
    <x v="1"/>
  </r>
  <r>
    <s v="STU061"/>
    <x v="4"/>
    <n v="37"/>
    <n v="21"/>
    <n v="51.351351351351347"/>
    <b v="1"/>
    <n v="76.8"/>
    <n v="65.5"/>
    <n v="63.9"/>
    <n v="59.8"/>
    <n v="66.5"/>
    <s v="B.Tech IT"/>
    <n v="6"/>
    <s v="Group B"/>
    <n v="14"/>
    <n v="10"/>
    <n v="53"/>
    <s v="Elective"/>
    <n v="3"/>
    <s v="Faculty F"/>
    <s v="Good"/>
    <n v="1"/>
    <n v="0"/>
    <n v="0"/>
    <n v="10"/>
    <x v="1"/>
  </r>
  <r>
    <s v="STU062"/>
    <x v="6"/>
    <n v="38"/>
    <n v="19"/>
    <n v="65.789473684210535"/>
    <b v="1"/>
    <n v="72.900000000000006"/>
    <n v="76.7"/>
    <n v="85.7"/>
    <n v="71"/>
    <n v="76.575000000000003"/>
    <s v="B.E. ECE"/>
    <n v="6"/>
    <s v="Group A"/>
    <n v="32"/>
    <n v="10"/>
    <n v="81"/>
    <s v="Core"/>
    <n v="3"/>
    <s v="Faculty B"/>
    <s v="High Performance"/>
    <n v="1"/>
    <n v="0"/>
    <n v="0"/>
    <n v="10"/>
    <x v="1"/>
  </r>
  <r>
    <s v="STU062"/>
    <x v="1"/>
    <n v="38"/>
    <n v="25"/>
    <n v="65.789473684210535"/>
    <b v="1"/>
    <n v="59.2"/>
    <n v="74.7"/>
    <n v="61.4"/>
    <n v="56.3"/>
    <n v="62.900000000000013"/>
    <s v="B.E. ECE"/>
    <n v="6"/>
    <s v="Group A"/>
    <n v="11"/>
    <n v="6"/>
    <n v="44"/>
    <s v="Practical"/>
    <n v="2"/>
    <s v="Faculty A"/>
    <s v="Good"/>
    <n v="1"/>
    <n v="0"/>
    <n v="0"/>
    <n v="6"/>
    <x v="1"/>
  </r>
  <r>
    <s v="STU062"/>
    <x v="3"/>
    <n v="28"/>
    <n v="25"/>
    <n v="64.285714285714292"/>
    <b v="1"/>
    <n v="88.4"/>
    <n v="90.1"/>
    <n v="63.9"/>
    <n v="72.8"/>
    <n v="78.8"/>
    <s v="B.E. ECE"/>
    <n v="6"/>
    <s v="Group A"/>
    <n v="16"/>
    <n v="11"/>
    <n v="46"/>
    <s v="Core"/>
    <n v="3"/>
    <s v="Faculty G"/>
    <s v="High Performance"/>
    <n v="1"/>
    <n v="0"/>
    <n v="0"/>
    <n v="11"/>
    <x v="1"/>
  </r>
  <r>
    <s v="STU062"/>
    <x v="7"/>
    <n v="31"/>
    <n v="18"/>
    <n v="87.096774193548384"/>
    <b v="1"/>
    <m/>
    <n v="89.7"/>
    <n v="63.9"/>
    <n v="78.599999999999994"/>
    <n v="77.399999999999991"/>
    <s v="B.E. ECE"/>
    <n v="6"/>
    <s v="Group A"/>
    <n v="13"/>
    <n v="10"/>
    <n v="38"/>
    <s v="Core"/>
    <n v="4"/>
    <s v="Faculty C"/>
    <s v="High Performance"/>
    <n v="0"/>
    <n v="0"/>
    <n v="1"/>
    <n v="10"/>
    <x v="1"/>
  </r>
  <r>
    <s v="STU062"/>
    <x v="5"/>
    <n v="30"/>
    <n v="27"/>
    <n v="76.666666666666671"/>
    <b v="1"/>
    <n v="63.5"/>
    <n v="53.2"/>
    <n v="71.8"/>
    <n v="88.5"/>
    <n v="69.25"/>
    <s v="B.E. ECE"/>
    <n v="6"/>
    <s v="Group A"/>
    <n v="22"/>
    <n v="12"/>
    <n v="52"/>
    <s v="Foundation"/>
    <n v="4"/>
    <s v="Faculty E"/>
    <s v="Good"/>
    <n v="0"/>
    <n v="0"/>
    <n v="0"/>
    <n v="12"/>
    <x v="1"/>
  </r>
  <r>
    <s v="STU063"/>
    <x v="0"/>
    <n v="28"/>
    <n v="23"/>
    <n v="71.428571428571431"/>
    <b v="1"/>
    <n v="100"/>
    <n v="89.2"/>
    <n v="100"/>
    <n v="85.1"/>
    <n v="93.575000000000003"/>
    <s v="B.E. ECE"/>
    <n v="5"/>
    <s v="Group B"/>
    <n v="19"/>
    <n v="13"/>
    <n v="54"/>
    <s v="Core"/>
    <n v="4"/>
    <s v="Faculty A"/>
    <s v="High Performance"/>
    <n v="1"/>
    <n v="0"/>
    <n v="0"/>
    <n v="13"/>
    <x v="1"/>
  </r>
  <r>
    <s v="STU063"/>
    <x v="6"/>
    <n v="40"/>
    <n v="20"/>
    <n v="57.499999999999993"/>
    <b v="1"/>
    <n v="83.7"/>
    <n v="94.5"/>
    <n v="100"/>
    <n v="93.7"/>
    <n v="92.974999999999994"/>
    <s v="B.E. ECE"/>
    <n v="5"/>
    <s v="Group B"/>
    <n v="24"/>
    <n v="12"/>
    <n v="61"/>
    <s v="Core"/>
    <n v="3"/>
    <s v="Faculty B"/>
    <s v="High Performance"/>
    <n v="1"/>
    <n v="0"/>
    <n v="0"/>
    <n v="12"/>
    <x v="1"/>
  </r>
  <r>
    <s v="STU063"/>
    <x v="1"/>
    <n v="29"/>
    <n v="23"/>
    <n v="68.965517241379317"/>
    <b v="1"/>
    <n v="100"/>
    <n v="100"/>
    <n v="100"/>
    <n v="100"/>
    <n v="100"/>
    <s v="B.E. ECE"/>
    <n v="5"/>
    <s v="Group B"/>
    <n v="23"/>
    <n v="11"/>
    <n v="62"/>
    <s v="Practical"/>
    <n v="2"/>
    <s v="Faculty A"/>
    <s v="High Performance"/>
    <n v="1"/>
    <n v="0"/>
    <n v="0"/>
    <n v="11"/>
    <x v="1"/>
  </r>
  <r>
    <s v="STU063"/>
    <x v="2"/>
    <n v="26"/>
    <n v="20"/>
    <n v="80.769230769230774"/>
    <b v="1"/>
    <n v="100"/>
    <n v="100"/>
    <n v="71.900000000000006"/>
    <n v="99.1"/>
    <n v="92.75"/>
    <s v="B.E. ECE"/>
    <n v="5"/>
    <s v="Group B"/>
    <n v="29"/>
    <n v="10"/>
    <n v="76"/>
    <s v="Core"/>
    <n v="3"/>
    <s v="Faculty D"/>
    <s v="High Performance"/>
    <n v="0"/>
    <n v="0"/>
    <n v="0"/>
    <n v="10"/>
    <x v="1"/>
  </r>
  <r>
    <s v="STU064"/>
    <x v="6"/>
    <n v="30"/>
    <n v="21"/>
    <n v="63.333333333333329"/>
    <b v="1"/>
    <n v="70.900000000000006"/>
    <n v="72.599999999999994"/>
    <n v="94.6"/>
    <n v="90.6"/>
    <n v="82.174999999999997"/>
    <s v="B.Tech IT"/>
    <n v="4"/>
    <s v="Group B"/>
    <n v="14"/>
    <n v="10"/>
    <n v="39"/>
    <s v="Core"/>
    <n v="3"/>
    <s v="Faculty B"/>
    <s v="High Performance"/>
    <n v="1"/>
    <n v="0"/>
    <n v="0"/>
    <n v="10"/>
    <x v="1"/>
  </r>
  <r>
    <s v="STU064"/>
    <x v="1"/>
    <n v="32"/>
    <n v="19"/>
    <n v="71.875"/>
    <b v="1"/>
    <n v="75.900000000000006"/>
    <n v="75"/>
    <n v="68.8"/>
    <n v="83.5"/>
    <n v="75.8"/>
    <s v="B.Tech IT"/>
    <n v="4"/>
    <s v="Group B"/>
    <n v="15"/>
    <n v="9"/>
    <n v="44"/>
    <s v="Practical"/>
    <n v="2"/>
    <s v="Faculty A"/>
    <s v="High Performance"/>
    <n v="1"/>
    <n v="0"/>
    <n v="0"/>
    <n v="9"/>
    <x v="1"/>
  </r>
  <r>
    <s v="STU064"/>
    <x v="2"/>
    <n v="31"/>
    <n v="23"/>
    <n v="70.967741935483872"/>
    <b v="1"/>
    <n v="58.4"/>
    <n v="88.8"/>
    <n v="67.8"/>
    <n v="89.2"/>
    <n v="76.05"/>
    <s v="B.Tech IT"/>
    <n v="4"/>
    <s v="Group B"/>
    <n v="15"/>
    <n v="10"/>
    <n v="50"/>
    <s v="Core"/>
    <n v="3"/>
    <s v="Faculty D"/>
    <s v="High Performance"/>
    <n v="1"/>
    <n v="0"/>
    <n v="0"/>
    <n v="10"/>
    <x v="1"/>
  </r>
  <r>
    <s v="STU064"/>
    <x v="4"/>
    <n v="40"/>
    <n v="22"/>
    <n v="45"/>
    <b v="1"/>
    <n v="86.3"/>
    <n v="76.3"/>
    <n v="47"/>
    <n v="60.6"/>
    <n v="67.55"/>
    <s v="B.Tech IT"/>
    <n v="4"/>
    <s v="Group B"/>
    <n v="16"/>
    <n v="12"/>
    <n v="47"/>
    <s v="Elective"/>
    <n v="3"/>
    <s v="Faculty F"/>
    <s v="Good"/>
    <n v="1"/>
    <n v="0"/>
    <n v="0"/>
    <n v="12"/>
    <x v="1"/>
  </r>
  <r>
    <s v="STU065"/>
    <x v="0"/>
    <n v="39"/>
    <n v="18"/>
    <n v="58.974358974358978"/>
    <b v="1"/>
    <n v="36.299999999999997"/>
    <n v="63.8"/>
    <n v="79.2"/>
    <m/>
    <n v="59.766666666666673"/>
    <s v="B.Tech IT"/>
    <n v="5"/>
    <s v="Group C"/>
    <n v="16"/>
    <n v="9"/>
    <n v="67"/>
    <s v="Core"/>
    <n v="4"/>
    <s v="Faculty A"/>
    <s v="Developing"/>
    <n v="1"/>
    <n v="0"/>
    <n v="1"/>
    <n v="9"/>
    <x v="0"/>
  </r>
  <r>
    <s v="STU065"/>
    <x v="6"/>
    <n v="25"/>
    <n v="23"/>
    <n v="52"/>
    <b v="1"/>
    <n v="25.4"/>
    <n v="65.7"/>
    <n v="58.3"/>
    <n v="75.5"/>
    <n v="56.225000000000001"/>
    <s v="B.Tech IT"/>
    <n v="5"/>
    <s v="Group C"/>
    <n v="9"/>
    <n v="11"/>
    <n v="37"/>
    <s v="Core"/>
    <n v="3"/>
    <s v="Faculty B"/>
    <s v="Developing"/>
    <n v="1"/>
    <n v="0"/>
    <n v="0"/>
    <n v="11"/>
    <x v="0"/>
  </r>
  <r>
    <s v="STU065"/>
    <x v="2"/>
    <n v="24"/>
    <n v="13"/>
    <n v="41.666666666666671"/>
    <b v="1"/>
    <n v="62.3"/>
    <n v="64.3"/>
    <n v="61"/>
    <n v="62.3"/>
    <n v="62.475000000000001"/>
    <s v="B.Tech IT"/>
    <n v="5"/>
    <s v="Group C"/>
    <n v="14"/>
    <n v="7"/>
    <n v="28"/>
    <s v="Core"/>
    <n v="3"/>
    <s v="Faculty D"/>
    <s v="Good"/>
    <n v="1"/>
    <n v="0"/>
    <n v="0"/>
    <n v="7"/>
    <x v="1"/>
  </r>
  <r>
    <s v="STU065"/>
    <x v="3"/>
    <n v="39"/>
    <n v="10"/>
    <n v="43.589743589743591"/>
    <b v="1"/>
    <n v="41"/>
    <n v="50.1"/>
    <n v="47.9"/>
    <n v="69.7"/>
    <n v="52.174999999999997"/>
    <s v="B.Tech IT"/>
    <n v="5"/>
    <s v="Group C"/>
    <n v="24"/>
    <n v="9"/>
    <n v="60"/>
    <s v="Core"/>
    <n v="3"/>
    <s v="Faculty G"/>
    <s v="Developing"/>
    <n v="1"/>
    <n v="0"/>
    <n v="0"/>
    <n v="9"/>
    <x v="0"/>
  </r>
  <r>
    <s v="STU065"/>
    <x v="4"/>
    <n v="36"/>
    <n v="17"/>
    <n v="63.888888888888893"/>
    <b v="1"/>
    <n v="54.1"/>
    <n v="51.6"/>
    <n v="25.9"/>
    <n v="50.9"/>
    <n v="45.625"/>
    <s v="B.Tech IT"/>
    <n v="5"/>
    <s v="Group C"/>
    <n v="24"/>
    <n v="11"/>
    <n v="70"/>
    <s v="Elective"/>
    <n v="3"/>
    <s v="Faculty F"/>
    <s v="Developing"/>
    <n v="1"/>
    <n v="0"/>
    <n v="0"/>
    <n v="11"/>
    <x v="0"/>
  </r>
  <r>
    <s v="STU066"/>
    <x v="0"/>
    <n v="37"/>
    <n v="23"/>
    <n v="56.756756756756758"/>
    <b v="1"/>
    <n v="80"/>
    <n v="100"/>
    <n v="79.400000000000006"/>
    <n v="79.400000000000006"/>
    <n v="84.699999999999989"/>
    <s v="B.E. ECE"/>
    <n v="5"/>
    <s v="Group B"/>
    <n v="24"/>
    <n v="11"/>
    <n v="70"/>
    <s v="Core"/>
    <n v="4"/>
    <s v="Faculty A"/>
    <s v="High Performance"/>
    <n v="1"/>
    <n v="0"/>
    <n v="0"/>
    <n v="11"/>
    <x v="1"/>
  </r>
  <r>
    <s v="STU066"/>
    <x v="1"/>
    <n v="28"/>
    <n v="21"/>
    <n v="85.714285714285708"/>
    <b v="1"/>
    <n v="87"/>
    <n v="89"/>
    <n v="83.5"/>
    <n v="86.9"/>
    <n v="86.6"/>
    <s v="B.E. ECE"/>
    <n v="5"/>
    <s v="Group B"/>
    <n v="19"/>
    <n v="13"/>
    <n v="46"/>
    <s v="Practical"/>
    <n v="2"/>
    <s v="Faculty A"/>
    <s v="High Performance"/>
    <n v="0"/>
    <n v="0"/>
    <n v="0"/>
    <n v="13"/>
    <x v="1"/>
  </r>
  <r>
    <s v="STU066"/>
    <x v="2"/>
    <n v="29"/>
    <n v="24"/>
    <n v="58.620689655172413"/>
    <b v="1"/>
    <n v="50.9"/>
    <n v="86.8"/>
    <n v="87.8"/>
    <n v="73.8"/>
    <n v="74.825000000000003"/>
    <s v="B.E. ECE"/>
    <n v="5"/>
    <s v="Group B"/>
    <n v="20"/>
    <n v="9"/>
    <n v="59"/>
    <s v="Core"/>
    <n v="3"/>
    <s v="Faculty D"/>
    <s v="Good"/>
    <n v="1"/>
    <n v="0"/>
    <n v="0"/>
    <n v="9"/>
    <x v="1"/>
  </r>
  <r>
    <s v="STU066"/>
    <x v="7"/>
    <n v="27"/>
    <n v="17"/>
    <n v="66.666666666666657"/>
    <b v="1"/>
    <n v="72.3"/>
    <n v="85.6"/>
    <n v="73.099999999999994"/>
    <n v="70.3"/>
    <n v="75.324999999999989"/>
    <s v="B.E. ECE"/>
    <n v="5"/>
    <s v="Group B"/>
    <n v="19"/>
    <n v="7"/>
    <n v="39"/>
    <s v="Core"/>
    <n v="4"/>
    <s v="Faculty C"/>
    <s v="High Performance"/>
    <n v="1"/>
    <n v="0"/>
    <n v="0"/>
    <n v="7"/>
    <x v="1"/>
  </r>
  <r>
    <s v="STU066"/>
    <x v="4"/>
    <n v="34"/>
    <n v="18"/>
    <n v="88.235294117647058"/>
    <b v="1"/>
    <n v="67.3"/>
    <n v="77.3"/>
    <n v="52.3"/>
    <n v="94.8"/>
    <n v="72.924999999999997"/>
    <s v="B.E. ECE"/>
    <n v="5"/>
    <s v="Group B"/>
    <n v="18"/>
    <n v="12"/>
    <n v="53"/>
    <s v="Elective"/>
    <n v="3"/>
    <s v="Faculty F"/>
    <s v="Good"/>
    <n v="0"/>
    <n v="0"/>
    <n v="0"/>
    <n v="12"/>
    <x v="1"/>
  </r>
  <r>
    <s v="STU066"/>
    <x v="5"/>
    <n v="31"/>
    <n v="30"/>
    <n v="83.870967741935488"/>
    <b v="1"/>
    <n v="70.7"/>
    <n v="75.5"/>
    <n v="52.1"/>
    <n v="76.8"/>
    <n v="68.774999999999991"/>
    <s v="B.E. ECE"/>
    <n v="5"/>
    <s v="Group B"/>
    <n v="27"/>
    <n v="10"/>
    <n v="56"/>
    <s v="Foundation"/>
    <n v="4"/>
    <s v="Faculty E"/>
    <s v="Good"/>
    <n v="0"/>
    <n v="0"/>
    <n v="0"/>
    <n v="10"/>
    <x v="1"/>
  </r>
  <r>
    <s v="STU067"/>
    <x v="0"/>
    <n v="35"/>
    <n v="26"/>
    <n v="51.428571428571423"/>
    <b v="1"/>
    <n v="53.6"/>
    <n v="77.400000000000006"/>
    <n v="100"/>
    <n v="87.3"/>
    <n v="79.575000000000003"/>
    <s v="B.E. ECE"/>
    <n v="4"/>
    <s v="Group A"/>
    <n v="20"/>
    <n v="9"/>
    <n v="39"/>
    <s v="Core"/>
    <n v="4"/>
    <s v="Faculty A"/>
    <s v="High Performance"/>
    <n v="1"/>
    <n v="0"/>
    <n v="0"/>
    <n v="9"/>
    <x v="1"/>
  </r>
  <r>
    <s v="STU067"/>
    <x v="6"/>
    <n v="34"/>
    <n v="18"/>
    <n v="52.941176470588239"/>
    <b v="1"/>
    <n v="66.599999999999994"/>
    <n v="72.599999999999994"/>
    <n v="75.7"/>
    <n v="75.099999999999994"/>
    <n v="72.5"/>
    <s v="B.E. ECE"/>
    <n v="4"/>
    <s v="Group A"/>
    <n v="16"/>
    <n v="10"/>
    <n v="55"/>
    <s v="Core"/>
    <n v="3"/>
    <s v="Faculty B"/>
    <s v="Good"/>
    <n v="1"/>
    <n v="0"/>
    <n v="0"/>
    <n v="10"/>
    <x v="1"/>
  </r>
  <r>
    <s v="STU067"/>
    <x v="1"/>
    <n v="40"/>
    <n v="18"/>
    <n v="45"/>
    <b v="1"/>
    <n v="64.099999999999994"/>
    <n v="87.8"/>
    <n v="65"/>
    <n v="84.4"/>
    <n v="75.324999999999989"/>
    <s v="B.E. ECE"/>
    <n v="4"/>
    <s v="Group A"/>
    <n v="13"/>
    <n v="10"/>
    <n v="45"/>
    <s v="Practical"/>
    <n v="2"/>
    <s v="Faculty A"/>
    <s v="High Performance"/>
    <n v="1"/>
    <n v="0"/>
    <n v="0"/>
    <n v="10"/>
    <x v="1"/>
  </r>
  <r>
    <s v="STU067"/>
    <x v="3"/>
    <n v="39"/>
    <n v="18"/>
    <n v="46.153846153846153"/>
    <b v="1"/>
    <n v="63.7"/>
    <n v="71.2"/>
    <n v="68.900000000000006"/>
    <n v="70.599999999999994"/>
    <n v="68.599999999999994"/>
    <s v="B.E. ECE"/>
    <n v="4"/>
    <s v="Group A"/>
    <n v="10"/>
    <n v="9"/>
    <n v="30"/>
    <s v="Core"/>
    <n v="3"/>
    <s v="Faculty G"/>
    <s v="Good"/>
    <n v="1"/>
    <n v="0"/>
    <n v="0"/>
    <n v="9"/>
    <x v="1"/>
  </r>
  <r>
    <s v="STU068"/>
    <x v="0"/>
    <n v="28"/>
    <n v="18"/>
    <n v="46.428571428571431"/>
    <b v="1"/>
    <n v="43.6"/>
    <n v="65.599999999999994"/>
    <n v="73.7"/>
    <n v="74.8"/>
    <n v="64.424999999999997"/>
    <s v="B.E. CSE"/>
    <n v="3"/>
    <s v="Group B"/>
    <n v="19"/>
    <n v="9"/>
    <n v="65"/>
    <s v="Core"/>
    <n v="4"/>
    <s v="Faculty A"/>
    <s v="Good"/>
    <n v="1"/>
    <n v="0"/>
    <n v="0"/>
    <n v="9"/>
    <x v="1"/>
  </r>
  <r>
    <s v="STU068"/>
    <x v="6"/>
    <n v="29"/>
    <n v="13"/>
    <n v="65.517241379310349"/>
    <b v="1"/>
    <n v="67.8"/>
    <n v="92.9"/>
    <n v="52.2"/>
    <n v="67"/>
    <n v="69.974999999999994"/>
    <s v="B.E. CSE"/>
    <n v="3"/>
    <s v="Group B"/>
    <n v="15"/>
    <n v="8"/>
    <n v="61"/>
    <s v="Core"/>
    <n v="3"/>
    <s v="Faculty B"/>
    <s v="Good"/>
    <n v="1"/>
    <n v="0"/>
    <n v="0"/>
    <n v="8"/>
    <x v="1"/>
  </r>
  <r>
    <s v="STU068"/>
    <x v="1"/>
    <n v="28"/>
    <n v="19"/>
    <n v="67.857142857142861"/>
    <b v="1"/>
    <n v="76.7"/>
    <n v="68.3"/>
    <n v="46.9"/>
    <n v="78.5"/>
    <n v="67.599999999999994"/>
    <s v="B.E. CSE"/>
    <n v="3"/>
    <s v="Group B"/>
    <n v="21"/>
    <n v="11"/>
    <n v="49"/>
    <s v="Practical"/>
    <n v="2"/>
    <s v="Faculty A"/>
    <s v="Good"/>
    <n v="1"/>
    <n v="0"/>
    <n v="0"/>
    <n v="11"/>
    <x v="1"/>
  </r>
  <r>
    <s v="STU068"/>
    <x v="2"/>
    <n v="28"/>
    <n v="19"/>
    <n v="53.571428571428569"/>
    <b v="1"/>
    <n v="66.2"/>
    <m/>
    <n v="65.099999999999994"/>
    <n v="83.4"/>
    <n v="71.566666666666677"/>
    <s v="B.E. CSE"/>
    <n v="3"/>
    <s v="Group B"/>
    <n v="16"/>
    <n v="8"/>
    <n v="47"/>
    <s v="Core"/>
    <n v="3"/>
    <s v="Faculty D"/>
    <s v="Good"/>
    <n v="1"/>
    <n v="0"/>
    <n v="1"/>
    <n v="8"/>
    <x v="1"/>
  </r>
  <r>
    <s v="STU068"/>
    <x v="7"/>
    <n v="26"/>
    <n v="15"/>
    <n v="65.384615384615387"/>
    <b v="1"/>
    <n v="71.7"/>
    <n v="77.7"/>
    <m/>
    <n v="69.400000000000006"/>
    <n v="72.933333333333337"/>
    <s v="B.E. CSE"/>
    <n v="3"/>
    <s v="Group B"/>
    <n v="25"/>
    <n v="9"/>
    <n v="71"/>
    <s v="Core"/>
    <n v="4"/>
    <s v="Faculty C"/>
    <s v="Good"/>
    <n v="1"/>
    <n v="0"/>
    <n v="1"/>
    <n v="9"/>
    <x v="1"/>
  </r>
  <r>
    <s v="STU068"/>
    <x v="4"/>
    <n v="30"/>
    <n v="17"/>
    <n v="53.333333333333343"/>
    <b v="1"/>
    <n v="41.7"/>
    <n v="58.1"/>
    <n v="34.799999999999997"/>
    <n v="73.400000000000006"/>
    <n v="52.000000000000007"/>
    <s v="B.E. CSE"/>
    <n v="3"/>
    <s v="Group B"/>
    <n v="31"/>
    <n v="8"/>
    <n v="61"/>
    <s v="Elective"/>
    <n v="3"/>
    <s v="Faculty F"/>
    <s v="Developing"/>
    <n v="1"/>
    <n v="0"/>
    <n v="0"/>
    <n v="8"/>
    <x v="0"/>
  </r>
  <r>
    <s v="STU069"/>
    <x v="0"/>
    <n v="37"/>
    <n v="16"/>
    <n v="78.378378378378372"/>
    <b v="1"/>
    <n v="60"/>
    <n v="41.6"/>
    <n v="46.9"/>
    <n v="43.4"/>
    <n v="47.975000000000001"/>
    <s v="B.E. CSE"/>
    <n v="5"/>
    <s v="Group A"/>
    <n v="13"/>
    <n v="10"/>
    <n v="43"/>
    <s v="Core"/>
    <n v="4"/>
    <s v="Faculty A"/>
    <s v="Developing"/>
    <n v="0"/>
    <n v="0"/>
    <n v="0"/>
    <n v="10"/>
    <x v="1"/>
  </r>
  <r>
    <s v="STU069"/>
    <x v="6"/>
    <n v="33"/>
    <n v="29"/>
    <n v="60.606060606060609"/>
    <b v="1"/>
    <n v="45.4"/>
    <n v="54.2"/>
    <n v="65.8"/>
    <n v="52.1"/>
    <n v="54.374999999999993"/>
    <s v="B.E. CSE"/>
    <n v="5"/>
    <s v="Group A"/>
    <n v="16"/>
    <n v="8"/>
    <n v="63"/>
    <s v="Core"/>
    <n v="3"/>
    <s v="Faculty B"/>
    <s v="Developing"/>
    <n v="1"/>
    <n v="0"/>
    <n v="0"/>
    <n v="8"/>
    <x v="0"/>
  </r>
  <r>
    <s v="STU069"/>
    <x v="2"/>
    <n v="31"/>
    <n v="20"/>
    <n v="54.838709677419352"/>
    <b v="1"/>
    <n v="46.8"/>
    <n v="57.5"/>
    <m/>
    <n v="32.799999999999997"/>
    <n v="45.7"/>
    <s v="B.E. CSE"/>
    <n v="5"/>
    <s v="Group A"/>
    <n v="12"/>
    <n v="8"/>
    <n v="41"/>
    <s v="Core"/>
    <n v="3"/>
    <s v="Faculty D"/>
    <s v="Developing"/>
    <n v="1"/>
    <n v="0"/>
    <n v="1"/>
    <n v="8"/>
    <x v="0"/>
  </r>
  <r>
    <s v="STU069"/>
    <x v="7"/>
    <n v="31"/>
    <n v="17"/>
    <n v="35.483870967741943"/>
    <b v="1"/>
    <n v="64.7"/>
    <n v="71.7"/>
    <n v="29.5"/>
    <n v="52.5"/>
    <n v="54.6"/>
    <s v="B.E. CSE"/>
    <n v="5"/>
    <s v="Group A"/>
    <n v="15"/>
    <n v="12"/>
    <n v="43"/>
    <s v="Core"/>
    <n v="4"/>
    <s v="Faculty C"/>
    <s v="Developing"/>
    <n v="1"/>
    <n v="0"/>
    <n v="0"/>
    <n v="12"/>
    <x v="0"/>
  </r>
  <r>
    <s v="STU070"/>
    <x v="0"/>
    <n v="30"/>
    <n v="11"/>
    <n v="56.666666666666657"/>
    <b v="1"/>
    <n v="70.099999999999994"/>
    <n v="67.099999999999994"/>
    <n v="61.1"/>
    <n v="56.7"/>
    <n v="63.75"/>
    <s v="B.E. ECE"/>
    <n v="4"/>
    <s v="Group A"/>
    <n v="12"/>
    <n v="13"/>
    <n v="40"/>
    <s v="Core"/>
    <n v="4"/>
    <s v="Faculty A"/>
    <s v="Good"/>
    <n v="1"/>
    <n v="0"/>
    <n v="0"/>
    <n v="13"/>
    <x v="1"/>
  </r>
  <r>
    <s v="STU070"/>
    <x v="1"/>
    <n v="25"/>
    <n v="17"/>
    <n v="80"/>
    <b v="1"/>
    <n v="69.400000000000006"/>
    <n v="66.099999999999994"/>
    <n v="56"/>
    <n v="68"/>
    <n v="64.875"/>
    <s v="B.E. ECE"/>
    <n v="4"/>
    <s v="Group A"/>
    <n v="12"/>
    <n v="8"/>
    <n v="44"/>
    <s v="Practical"/>
    <n v="2"/>
    <s v="Faculty A"/>
    <s v="Good"/>
    <n v="0"/>
    <n v="0"/>
    <n v="0"/>
    <n v="8"/>
    <x v="1"/>
  </r>
  <r>
    <s v="STU070"/>
    <x v="7"/>
    <n v="29"/>
    <n v="20"/>
    <n v="58.620689655172413"/>
    <b v="1"/>
    <n v="39.1"/>
    <n v="55.1"/>
    <n v="59.7"/>
    <n v="64.900000000000006"/>
    <n v="54.7"/>
    <s v="B.E. ECE"/>
    <n v="4"/>
    <s v="Group A"/>
    <n v="19"/>
    <n v="6"/>
    <n v="61"/>
    <s v="Core"/>
    <n v="4"/>
    <s v="Faculty C"/>
    <s v="Developing"/>
    <n v="1"/>
    <n v="0"/>
    <n v="0"/>
    <n v="6"/>
    <x v="0"/>
  </r>
  <r>
    <s v="STU070"/>
    <x v="4"/>
    <n v="27"/>
    <n v="17"/>
    <n v="85.18518518518519"/>
    <b v="1"/>
    <n v="33.5"/>
    <n v="65.599999999999994"/>
    <n v="97.9"/>
    <n v="76.3"/>
    <n v="68.325000000000003"/>
    <s v="B.E. ECE"/>
    <n v="4"/>
    <s v="Group A"/>
    <n v="15"/>
    <n v="10"/>
    <n v="40"/>
    <s v="Elective"/>
    <n v="3"/>
    <s v="Faculty F"/>
    <s v="Good"/>
    <n v="0"/>
    <n v="0"/>
    <n v="0"/>
    <n v="10"/>
    <x v="1"/>
  </r>
  <r>
    <s v="STU071"/>
    <x v="0"/>
    <n v="25"/>
    <n v="23"/>
    <n v="80"/>
    <b v="1"/>
    <n v="50.3"/>
    <n v="57.9"/>
    <n v="53.7"/>
    <n v="39.700000000000003"/>
    <n v="50.399999999999991"/>
    <s v="B.E. CSE"/>
    <n v="6"/>
    <s v="Group B"/>
    <m/>
    <n v="5"/>
    <m/>
    <s v="Core"/>
    <n v="4"/>
    <s v="Faculty A"/>
    <s v="Developing"/>
    <n v="0"/>
    <n v="1"/>
    <n v="0"/>
    <n v="5"/>
    <x v="1"/>
  </r>
  <r>
    <s v="STU071"/>
    <x v="6"/>
    <n v="40"/>
    <n v="20"/>
    <n v="37.5"/>
    <b v="1"/>
    <n v="31.9"/>
    <n v="34.4"/>
    <n v="61.3"/>
    <n v="73.2"/>
    <n v="50.2"/>
    <s v="B.E. CSE"/>
    <n v="6"/>
    <s v="Group B"/>
    <n v="12"/>
    <n v="5"/>
    <n v="21"/>
    <s v="Core"/>
    <n v="3"/>
    <s v="Faculty B"/>
    <s v="Developing"/>
    <n v="1"/>
    <n v="0"/>
    <n v="0"/>
    <n v="5"/>
    <x v="0"/>
  </r>
  <r>
    <s v="STU071"/>
    <x v="1"/>
    <n v="26"/>
    <n v="15"/>
    <n v="50"/>
    <b v="1"/>
    <n v="39.6"/>
    <n v="41.1"/>
    <n v="26.5"/>
    <n v="34.200000000000003"/>
    <n v="35.35"/>
    <s v="B.E. CSE"/>
    <n v="6"/>
    <s v="Group B"/>
    <n v="10"/>
    <n v="9"/>
    <n v="24"/>
    <s v="Practical"/>
    <n v="2"/>
    <s v="Faculty A"/>
    <s v="Needs Support"/>
    <n v="1"/>
    <n v="0"/>
    <n v="0"/>
    <n v="9"/>
    <x v="0"/>
  </r>
  <r>
    <s v="STU071"/>
    <x v="4"/>
    <n v="25"/>
    <n v="13"/>
    <n v="60"/>
    <b v="1"/>
    <n v="52.6"/>
    <n v="47.2"/>
    <n v="43.6"/>
    <n v="48.5"/>
    <n v="47.975000000000001"/>
    <s v="B.E. CSE"/>
    <n v="6"/>
    <s v="Group B"/>
    <n v="10"/>
    <n v="9"/>
    <n v="28"/>
    <s v="Elective"/>
    <n v="3"/>
    <s v="Faculty F"/>
    <s v="Developing"/>
    <n v="1"/>
    <n v="0"/>
    <n v="0"/>
    <n v="9"/>
    <x v="0"/>
  </r>
  <r>
    <s v="STU071"/>
    <x v="5"/>
    <n v="25"/>
    <n v="15"/>
    <n v="40"/>
    <b v="1"/>
    <n v="45.2"/>
    <n v="70.2"/>
    <n v="53.6"/>
    <n v="69.2"/>
    <n v="59.55"/>
    <s v="B.E. CSE"/>
    <n v="6"/>
    <s v="Group B"/>
    <n v="11"/>
    <n v="8"/>
    <n v="31"/>
    <s v="Foundation"/>
    <n v="4"/>
    <s v="Faculty E"/>
    <s v="Developing"/>
    <n v="1"/>
    <n v="0"/>
    <n v="0"/>
    <n v="8"/>
    <x v="0"/>
  </r>
  <r>
    <s v="STU072"/>
    <x v="0"/>
    <n v="34"/>
    <n v="10"/>
    <n v="52.941176470588239"/>
    <b v="1"/>
    <n v="73"/>
    <n v="74.7"/>
    <n v="72.099999999999994"/>
    <n v="62.7"/>
    <n v="70.625"/>
    <s v="B.E. ECE"/>
    <n v="4"/>
    <s v="Group A"/>
    <n v="13"/>
    <n v="11"/>
    <n v="38"/>
    <s v="Core"/>
    <n v="4"/>
    <s v="Faculty A"/>
    <s v="Good"/>
    <n v="1"/>
    <n v="0"/>
    <n v="0"/>
    <n v="11"/>
    <x v="1"/>
  </r>
  <r>
    <s v="STU072"/>
    <x v="6"/>
    <n v="24"/>
    <n v="18"/>
    <n v="70.833333333333343"/>
    <b v="1"/>
    <n v="76.8"/>
    <n v="72.5"/>
    <n v="64.5"/>
    <n v="81.400000000000006"/>
    <n v="73.800000000000011"/>
    <s v="B.E. ECE"/>
    <n v="4"/>
    <s v="Group A"/>
    <n v="20"/>
    <n v="9"/>
    <n v="69"/>
    <s v="Core"/>
    <n v="3"/>
    <s v="Faculty B"/>
    <s v="Good"/>
    <n v="1"/>
    <n v="0"/>
    <n v="0"/>
    <n v="9"/>
    <x v="1"/>
  </r>
  <r>
    <s v="STU072"/>
    <x v="2"/>
    <n v="33"/>
    <n v="17"/>
    <n v="48.484848484848477"/>
    <b v="1"/>
    <n v="65.3"/>
    <n v="79"/>
    <n v="74.2"/>
    <n v="59.4"/>
    <n v="69.474999999999994"/>
    <s v="B.E. ECE"/>
    <n v="4"/>
    <s v="Group A"/>
    <n v="9"/>
    <n v="7"/>
    <n v="27"/>
    <s v="Core"/>
    <n v="3"/>
    <s v="Faculty D"/>
    <s v="Good"/>
    <n v="1"/>
    <n v="0"/>
    <n v="0"/>
    <n v="7"/>
    <x v="1"/>
  </r>
  <r>
    <s v="STU072"/>
    <x v="3"/>
    <n v="32"/>
    <n v="16"/>
    <n v="78.125"/>
    <b v="1"/>
    <n v="74.7"/>
    <m/>
    <n v="63.2"/>
    <n v="68.3"/>
    <n v="68.733333333333334"/>
    <s v="B.E. ECE"/>
    <n v="4"/>
    <s v="Group A"/>
    <n v="14"/>
    <n v="7"/>
    <n v="40"/>
    <s v="Core"/>
    <n v="3"/>
    <s v="Faculty G"/>
    <s v="Good"/>
    <n v="0"/>
    <n v="0"/>
    <n v="1"/>
    <n v="7"/>
    <x v="1"/>
  </r>
  <r>
    <s v="STU072"/>
    <x v="7"/>
    <n v="37"/>
    <n v="25"/>
    <n v="56.756756756756758"/>
    <b v="1"/>
    <n v="66.099999999999994"/>
    <n v="75"/>
    <n v="54.9"/>
    <n v="76.400000000000006"/>
    <n v="68.099999999999994"/>
    <s v="B.E. ECE"/>
    <n v="4"/>
    <s v="Group A"/>
    <n v="7"/>
    <n v="8"/>
    <n v="32"/>
    <s v="Core"/>
    <n v="4"/>
    <s v="Faculty C"/>
    <s v="Good"/>
    <n v="1"/>
    <n v="0"/>
    <n v="0"/>
    <n v="8"/>
    <x v="1"/>
  </r>
  <r>
    <s v="STU073"/>
    <x v="0"/>
    <n v="39"/>
    <n v="21"/>
    <n v="61.53846153846154"/>
    <b v="1"/>
    <n v="50.1"/>
    <n v="65.599999999999994"/>
    <n v="62"/>
    <n v="63.1"/>
    <n v="60.2"/>
    <s v="B.E. EEE"/>
    <n v="3"/>
    <s v="Group A"/>
    <n v="15"/>
    <n v="7"/>
    <n v="35"/>
    <s v="Core"/>
    <n v="4"/>
    <s v="Faculty A"/>
    <s v="Good"/>
    <n v="1"/>
    <n v="0"/>
    <n v="0"/>
    <n v="7"/>
    <x v="1"/>
  </r>
  <r>
    <s v="STU073"/>
    <x v="1"/>
    <n v="26"/>
    <n v="24"/>
    <n v="76.923076923076934"/>
    <b v="1"/>
    <n v="46.2"/>
    <n v="59.7"/>
    <n v="36.299999999999997"/>
    <n v="67.5"/>
    <n v="52.424999999999997"/>
    <s v="B.E. EEE"/>
    <n v="3"/>
    <s v="Group A"/>
    <n v="20"/>
    <n v="9"/>
    <n v="62"/>
    <s v="Practical"/>
    <n v="2"/>
    <s v="Faculty A"/>
    <s v="Developing"/>
    <n v="0"/>
    <n v="0"/>
    <n v="0"/>
    <n v="9"/>
    <x v="1"/>
  </r>
  <r>
    <s v="STU073"/>
    <x v="3"/>
    <n v="24"/>
    <n v="20"/>
    <n v="50"/>
    <b v="1"/>
    <n v="51.2"/>
    <n v="62.9"/>
    <n v="31.2"/>
    <n v="55.5"/>
    <n v="50.2"/>
    <s v="B.E. EEE"/>
    <n v="3"/>
    <s v="Group A"/>
    <n v="10"/>
    <n v="7"/>
    <n v="32"/>
    <s v="Core"/>
    <n v="3"/>
    <s v="Faculty G"/>
    <s v="Developing"/>
    <n v="1"/>
    <n v="0"/>
    <n v="0"/>
    <n v="7"/>
    <x v="0"/>
  </r>
  <r>
    <s v="STU073"/>
    <x v="4"/>
    <n v="26"/>
    <n v="12"/>
    <n v="65.384615384615387"/>
    <b v="1"/>
    <n v="60.3"/>
    <n v="50.7"/>
    <n v="37.1"/>
    <n v="43.9"/>
    <n v="48"/>
    <s v="B.E. EEE"/>
    <n v="3"/>
    <s v="Group A"/>
    <n v="18"/>
    <n v="10"/>
    <n v="55"/>
    <s v="Elective"/>
    <n v="3"/>
    <s v="Faculty F"/>
    <s v="Developing"/>
    <n v="1"/>
    <n v="0"/>
    <n v="0"/>
    <n v="10"/>
    <x v="0"/>
  </r>
  <r>
    <s v="STU073"/>
    <x v="5"/>
    <n v="34"/>
    <n v="17"/>
    <n v="79.411764705882348"/>
    <b v="1"/>
    <n v="51"/>
    <n v="72.5"/>
    <n v="63.9"/>
    <n v="56.5"/>
    <n v="60.975000000000001"/>
    <s v="B.E. EEE"/>
    <n v="3"/>
    <s v="Group A"/>
    <n v="18"/>
    <n v="8"/>
    <n v="56"/>
    <s v="Foundation"/>
    <n v="4"/>
    <s v="Faculty E"/>
    <s v="Good"/>
    <n v="0"/>
    <n v="0"/>
    <n v="0"/>
    <n v="8"/>
    <x v="1"/>
  </r>
  <r>
    <s v="STU074"/>
    <x v="6"/>
    <n v="39"/>
    <n v="27"/>
    <n v="46.153846153846153"/>
    <b v="1"/>
    <n v="47.6"/>
    <n v="50"/>
    <n v="44.1"/>
    <n v="40.5"/>
    <n v="45.55"/>
    <s v="B.E. CSE"/>
    <n v="6"/>
    <s v="Group A"/>
    <n v="10"/>
    <n v="7"/>
    <n v="37"/>
    <s v="Core"/>
    <n v="3"/>
    <s v="Faculty B"/>
    <s v="Developing"/>
    <n v="1"/>
    <n v="0"/>
    <n v="0"/>
    <n v="7"/>
    <x v="0"/>
  </r>
  <r>
    <s v="STU074"/>
    <x v="2"/>
    <n v="34"/>
    <n v="18"/>
    <n v="58.82352941176471"/>
    <b v="1"/>
    <n v="35.700000000000003"/>
    <n v="52.1"/>
    <n v="47.6"/>
    <n v="41.7"/>
    <n v="44.275000000000013"/>
    <s v="B.E. CSE"/>
    <n v="6"/>
    <s v="Group A"/>
    <n v="17"/>
    <n v="12"/>
    <n v="50"/>
    <s v="Core"/>
    <n v="3"/>
    <s v="Faculty D"/>
    <s v="Developing"/>
    <n v="1"/>
    <n v="0"/>
    <n v="0"/>
    <n v="12"/>
    <x v="0"/>
  </r>
  <r>
    <s v="STU074"/>
    <x v="3"/>
    <n v="32"/>
    <n v="20"/>
    <n v="65.625"/>
    <b v="1"/>
    <n v="49.1"/>
    <n v="57.8"/>
    <n v="63.2"/>
    <n v="51.4"/>
    <n v="55.375000000000007"/>
    <s v="B.E. CSE"/>
    <n v="6"/>
    <s v="Group A"/>
    <n v="13"/>
    <n v="8"/>
    <n v="47"/>
    <s v="Core"/>
    <n v="3"/>
    <s v="Faculty G"/>
    <s v="Developing"/>
    <n v="1"/>
    <n v="0"/>
    <n v="0"/>
    <n v="8"/>
    <x v="0"/>
  </r>
  <r>
    <s v="STU074"/>
    <x v="4"/>
    <n v="32"/>
    <n v="21"/>
    <n v="56.25"/>
    <b v="1"/>
    <n v="20.3"/>
    <n v="49.7"/>
    <n v="42.7"/>
    <n v="52.5"/>
    <n v="41.3"/>
    <s v="B.E. CSE"/>
    <n v="6"/>
    <s v="Group A"/>
    <n v="23"/>
    <n v="5"/>
    <n v="54"/>
    <s v="Elective"/>
    <n v="3"/>
    <s v="Faculty F"/>
    <s v="Developing"/>
    <n v="1"/>
    <n v="0"/>
    <n v="0"/>
    <n v="5"/>
    <x v="0"/>
  </r>
  <r>
    <s v="STU074"/>
    <x v="5"/>
    <n v="24"/>
    <n v="18"/>
    <n v="54.166666666666657"/>
    <b v="1"/>
    <n v="58.3"/>
    <n v="51.7"/>
    <n v="51.3"/>
    <n v="49.8"/>
    <n v="52.775000000000013"/>
    <s v="B.E. CSE"/>
    <n v="6"/>
    <s v="Group A"/>
    <n v="19"/>
    <n v="9"/>
    <n v="62"/>
    <s v="Foundation"/>
    <n v="4"/>
    <s v="Faculty E"/>
    <s v="Developing"/>
    <n v="1"/>
    <n v="0"/>
    <n v="0"/>
    <n v="9"/>
    <x v="0"/>
  </r>
  <r>
    <s v="STU075"/>
    <x v="0"/>
    <n v="35"/>
    <n v="13"/>
    <n v="45.714285714285722"/>
    <b v="1"/>
    <n v="35.9"/>
    <n v="33"/>
    <n v="10.1"/>
    <n v="39.200000000000003"/>
    <n v="29.55"/>
    <s v="B.E. CSE"/>
    <n v="3"/>
    <s v="Group A"/>
    <n v="18"/>
    <n v="11"/>
    <n v="53"/>
    <s v="Core"/>
    <n v="4"/>
    <s v="Faculty A"/>
    <s v="Needs Support"/>
    <n v="1"/>
    <n v="0"/>
    <n v="0"/>
    <n v="11"/>
    <x v="0"/>
  </r>
  <r>
    <s v="STU075"/>
    <x v="6"/>
    <n v="26"/>
    <n v="16"/>
    <n v="34.615384615384613"/>
    <b v="1"/>
    <n v="12.6"/>
    <n v="44.3"/>
    <n v="43.2"/>
    <n v="44.7"/>
    <n v="36.200000000000003"/>
    <s v="B.E. CSE"/>
    <n v="3"/>
    <s v="Group A"/>
    <n v="12"/>
    <n v="8"/>
    <n v="43"/>
    <s v="Core"/>
    <n v="3"/>
    <s v="Faculty B"/>
    <s v="Needs Support"/>
    <n v="1"/>
    <n v="0"/>
    <n v="0"/>
    <n v="8"/>
    <x v="0"/>
  </r>
  <r>
    <s v="STU075"/>
    <x v="2"/>
    <n v="36"/>
    <n v="9"/>
    <n v="38.888888888888893"/>
    <b v="1"/>
    <n v="31.9"/>
    <n v="27.3"/>
    <n v="22.3"/>
    <n v="52.2"/>
    <n v="33.424999999999997"/>
    <s v="B.E. CSE"/>
    <n v="3"/>
    <s v="Group A"/>
    <n v="14"/>
    <n v="5"/>
    <n v="48"/>
    <s v="Core"/>
    <n v="3"/>
    <s v="Faculty D"/>
    <s v="Needs Support"/>
    <n v="1"/>
    <n v="0"/>
    <n v="0"/>
    <n v="5"/>
    <x v="0"/>
  </r>
  <r>
    <s v="STU075"/>
    <x v="3"/>
    <n v="35"/>
    <n v="14"/>
    <n v="40"/>
    <b v="1"/>
    <n v="24.1"/>
    <n v="32.700000000000003"/>
    <n v="47.6"/>
    <n v="49.5"/>
    <n v="38.475000000000001"/>
    <s v="B.E. CSE"/>
    <n v="3"/>
    <s v="Group A"/>
    <n v="10"/>
    <n v="5"/>
    <n v="32"/>
    <s v="Core"/>
    <n v="3"/>
    <s v="Faculty G"/>
    <s v="Needs Support"/>
    <n v="1"/>
    <n v="0"/>
    <n v="0"/>
    <n v="5"/>
    <x v="0"/>
  </r>
  <r>
    <s v="STU075"/>
    <x v="4"/>
    <n v="25"/>
    <n v="14"/>
    <n v="40"/>
    <b v="1"/>
    <n v="36.1"/>
    <n v="53.1"/>
    <n v="4.4000000000000004"/>
    <n v="58.8"/>
    <n v="38.1"/>
    <s v="B.E. CSE"/>
    <n v="3"/>
    <s v="Group A"/>
    <n v="21"/>
    <n v="7"/>
    <n v="63"/>
    <s v="Elective"/>
    <n v="3"/>
    <s v="Faculty F"/>
    <s v="Needs Support"/>
    <n v="1"/>
    <n v="0"/>
    <n v="0"/>
    <n v="7"/>
    <x v="0"/>
  </r>
  <r>
    <s v="STU075"/>
    <x v="5"/>
    <n v="25"/>
    <n v="10"/>
    <n v="60"/>
    <b v="1"/>
    <n v="30.3"/>
    <n v="38.5"/>
    <n v="22.8"/>
    <n v="42.1"/>
    <n v="33.424999999999997"/>
    <s v="B.E. CSE"/>
    <n v="3"/>
    <s v="Group A"/>
    <n v="13"/>
    <n v="6"/>
    <n v="35"/>
    <s v="Foundation"/>
    <n v="4"/>
    <s v="Faculty E"/>
    <s v="Needs Support"/>
    <n v="1"/>
    <n v="0"/>
    <n v="0"/>
    <n v="6"/>
    <x v="0"/>
  </r>
  <r>
    <s v="STU076"/>
    <x v="1"/>
    <n v="26"/>
    <n v="15"/>
    <n v="57.692307692307693"/>
    <b v="1"/>
    <n v="51"/>
    <n v="59.4"/>
    <n v="61.3"/>
    <m/>
    <n v="57.233333333333327"/>
    <s v="B.E. CSE"/>
    <n v="3"/>
    <s v="Group A"/>
    <n v="22"/>
    <n v="10"/>
    <n v="60"/>
    <s v="Practical"/>
    <n v="2"/>
    <s v="Faculty A"/>
    <s v="Developing"/>
    <n v="1"/>
    <n v="0"/>
    <n v="1"/>
    <n v="10"/>
    <x v="0"/>
  </r>
  <r>
    <s v="STU076"/>
    <x v="2"/>
    <n v="38"/>
    <n v="15"/>
    <n v="39.473684210526322"/>
    <b v="1"/>
    <n v="87.5"/>
    <n v="67.400000000000006"/>
    <m/>
    <n v="67"/>
    <n v="73.966666666666669"/>
    <s v="B.E. CSE"/>
    <n v="3"/>
    <s v="Group A"/>
    <n v="23"/>
    <n v="9"/>
    <n v="54"/>
    <s v="Core"/>
    <n v="3"/>
    <s v="Faculty D"/>
    <s v="Good"/>
    <n v="1"/>
    <n v="0"/>
    <n v="1"/>
    <n v="9"/>
    <x v="1"/>
  </r>
  <r>
    <s v="STU076"/>
    <x v="7"/>
    <n v="32"/>
    <n v="15"/>
    <n v="50"/>
    <b v="1"/>
    <n v="46.5"/>
    <n v="59.3"/>
    <n v="63.1"/>
    <n v="69.400000000000006"/>
    <n v="59.575000000000003"/>
    <s v="B.E. CSE"/>
    <n v="3"/>
    <s v="Group A"/>
    <n v="6"/>
    <n v="7"/>
    <n v="42"/>
    <s v="Core"/>
    <n v="4"/>
    <s v="Faculty C"/>
    <s v="Developing"/>
    <n v="1"/>
    <n v="0"/>
    <n v="0"/>
    <n v="7"/>
    <x v="0"/>
  </r>
  <r>
    <s v="STU076"/>
    <x v="4"/>
    <n v="40"/>
    <n v="16"/>
    <n v="62.5"/>
    <b v="1"/>
    <n v="84.3"/>
    <n v="60.7"/>
    <n v="59.4"/>
    <n v="66.599999999999994"/>
    <n v="67.75"/>
    <s v="B.E. CSE"/>
    <n v="3"/>
    <s v="Group A"/>
    <n v="16"/>
    <n v="7"/>
    <n v="68"/>
    <s v="Elective"/>
    <n v="3"/>
    <s v="Faculty F"/>
    <s v="Good"/>
    <n v="1"/>
    <n v="0"/>
    <n v="0"/>
    <n v="7"/>
    <x v="1"/>
  </r>
  <r>
    <s v="STU076"/>
    <x v="5"/>
    <n v="28"/>
    <n v="25"/>
    <n v="53.571428571428569"/>
    <b v="1"/>
    <n v="81"/>
    <n v="80.400000000000006"/>
    <n v="69.3"/>
    <m/>
    <n v="76.899999999999991"/>
    <s v="B.E. CSE"/>
    <n v="3"/>
    <s v="Group A"/>
    <n v="10"/>
    <n v="10"/>
    <n v="26"/>
    <s v="Foundation"/>
    <n v="4"/>
    <s v="Faculty E"/>
    <s v="High Performance"/>
    <n v="1"/>
    <n v="0"/>
    <n v="1"/>
    <n v="10"/>
    <x v="1"/>
  </r>
  <r>
    <s v="STU077"/>
    <x v="0"/>
    <n v="37"/>
    <n v="15"/>
    <n v="54.054054054054063"/>
    <b v="1"/>
    <n v="79.599999999999994"/>
    <n v="83.6"/>
    <n v="99.9"/>
    <n v="75.599999999999994"/>
    <n v="84.675000000000011"/>
    <s v="B.E. CSE"/>
    <n v="5"/>
    <s v="Group A"/>
    <n v="22"/>
    <n v="12"/>
    <n v="66"/>
    <s v="Core"/>
    <n v="4"/>
    <s v="Faculty A"/>
    <s v="High Performance"/>
    <n v="1"/>
    <n v="0"/>
    <n v="0"/>
    <n v="12"/>
    <x v="1"/>
  </r>
  <r>
    <s v="STU077"/>
    <x v="6"/>
    <n v="37"/>
    <n v="20"/>
    <n v="64.86486486486487"/>
    <b v="1"/>
    <n v="88.7"/>
    <n v="94.3"/>
    <n v="71.3"/>
    <n v="85.4"/>
    <n v="84.925000000000011"/>
    <s v="B.E. CSE"/>
    <n v="5"/>
    <s v="Group A"/>
    <n v="20"/>
    <n v="11"/>
    <n v="55"/>
    <s v="Core"/>
    <n v="3"/>
    <s v="Faculty B"/>
    <s v="High Performance"/>
    <n v="1"/>
    <n v="0"/>
    <n v="0"/>
    <n v="11"/>
    <x v="1"/>
  </r>
  <r>
    <s v="STU077"/>
    <x v="3"/>
    <n v="32"/>
    <n v="24"/>
    <n v="71.875"/>
    <b v="1"/>
    <m/>
    <n v="78"/>
    <n v="56.5"/>
    <m/>
    <n v="67.25"/>
    <s v="B.E. CSE"/>
    <n v="5"/>
    <s v="Group A"/>
    <n v="22"/>
    <n v="14"/>
    <n v="72"/>
    <s v="Core"/>
    <n v="3"/>
    <s v="Faculty G"/>
    <s v="Good"/>
    <n v="1"/>
    <n v="0"/>
    <n v="2"/>
    <n v="14"/>
    <x v="1"/>
  </r>
  <r>
    <s v="STU077"/>
    <x v="4"/>
    <n v="37"/>
    <n v="23"/>
    <n v="70.270270270270274"/>
    <b v="1"/>
    <n v="99.5"/>
    <n v="94.7"/>
    <n v="100"/>
    <n v="88.5"/>
    <n v="95.674999999999997"/>
    <s v="B.E. CSE"/>
    <n v="5"/>
    <s v="Group A"/>
    <n v="27"/>
    <n v="11"/>
    <n v="98"/>
    <s v="Elective"/>
    <n v="3"/>
    <s v="Faculty F"/>
    <s v="High Performance"/>
    <n v="1"/>
    <n v="0"/>
    <n v="0"/>
    <n v="11"/>
    <x v="1"/>
  </r>
  <r>
    <s v="STU078"/>
    <x v="0"/>
    <n v="37"/>
    <n v="26"/>
    <n v="78.378378378378372"/>
    <b v="1"/>
    <m/>
    <n v="61"/>
    <n v="23.5"/>
    <n v="51.1"/>
    <n v="45.2"/>
    <s v="B.Tech IT"/>
    <n v="6"/>
    <s v="Group B"/>
    <n v="23"/>
    <n v="5"/>
    <n v="71"/>
    <s v="Core"/>
    <n v="4"/>
    <s v="Faculty A"/>
    <s v="Developing"/>
    <n v="0"/>
    <n v="0"/>
    <n v="1"/>
    <n v="5"/>
    <x v="1"/>
  </r>
  <r>
    <s v="STU078"/>
    <x v="6"/>
    <n v="32"/>
    <n v="29"/>
    <n v="50"/>
    <b v="1"/>
    <n v="56.8"/>
    <n v="52.4"/>
    <n v="27.8"/>
    <n v="51.1"/>
    <n v="47.024999999999999"/>
    <s v="B.Tech IT"/>
    <n v="6"/>
    <s v="Group B"/>
    <n v="22"/>
    <n v="8"/>
    <n v="64"/>
    <s v="Core"/>
    <n v="3"/>
    <s v="Faculty B"/>
    <s v="Developing"/>
    <n v="1"/>
    <n v="0"/>
    <n v="0"/>
    <n v="8"/>
    <x v="0"/>
  </r>
  <r>
    <s v="STU078"/>
    <x v="1"/>
    <n v="33"/>
    <n v="16"/>
    <n v="57.575757575757578"/>
    <b v="1"/>
    <n v="35.700000000000003"/>
    <n v="45.7"/>
    <n v="49.4"/>
    <n v="55"/>
    <n v="46.45"/>
    <s v="B.Tech IT"/>
    <n v="6"/>
    <s v="Group B"/>
    <n v="17"/>
    <n v="9"/>
    <n v="45"/>
    <s v="Practical"/>
    <n v="2"/>
    <s v="Faculty A"/>
    <s v="Developing"/>
    <n v="1"/>
    <n v="0"/>
    <n v="0"/>
    <n v="9"/>
    <x v="0"/>
  </r>
  <r>
    <s v="STU078"/>
    <x v="7"/>
    <n v="28"/>
    <n v="19"/>
    <n v="75"/>
    <b v="1"/>
    <n v="36.299999999999997"/>
    <n v="45.8"/>
    <n v="55.1"/>
    <n v="75.2"/>
    <n v="53.1"/>
    <s v="B.Tech IT"/>
    <n v="6"/>
    <s v="Group B"/>
    <n v="20"/>
    <n v="7"/>
    <n v="63"/>
    <s v="Core"/>
    <n v="4"/>
    <s v="Faculty C"/>
    <s v="Developing"/>
    <n v="0"/>
    <n v="0"/>
    <n v="0"/>
    <n v="7"/>
    <x v="1"/>
  </r>
  <r>
    <s v="STU078"/>
    <x v="4"/>
    <n v="40"/>
    <n v="21"/>
    <n v="52.5"/>
    <b v="1"/>
    <n v="64.599999999999994"/>
    <n v="27.3"/>
    <n v="56.9"/>
    <n v="50.5"/>
    <n v="49.825000000000003"/>
    <s v="B.Tech IT"/>
    <n v="6"/>
    <s v="Group B"/>
    <n v="14"/>
    <n v="11"/>
    <n v="39"/>
    <s v="Elective"/>
    <n v="3"/>
    <s v="Faculty F"/>
    <s v="Developing"/>
    <n v="1"/>
    <n v="0"/>
    <n v="0"/>
    <n v="11"/>
    <x v="0"/>
  </r>
  <r>
    <s v="STU078"/>
    <x v="5"/>
    <n v="36"/>
    <n v="21"/>
    <n v="52.777777777777779"/>
    <b v="1"/>
    <n v="67.400000000000006"/>
    <n v="54.3"/>
    <n v="64.099999999999994"/>
    <n v="54.9"/>
    <n v="60.174999999999997"/>
    <s v="B.Tech IT"/>
    <n v="6"/>
    <s v="Group B"/>
    <n v="14"/>
    <n v="6"/>
    <n v="48"/>
    <s v="Foundation"/>
    <n v="4"/>
    <s v="Faculty E"/>
    <s v="Good"/>
    <n v="1"/>
    <n v="0"/>
    <n v="0"/>
    <n v="6"/>
    <x v="1"/>
  </r>
  <r>
    <s v="STU079"/>
    <x v="0"/>
    <n v="39"/>
    <n v="19"/>
    <n v="64.102564102564102"/>
    <b v="1"/>
    <n v="60.8"/>
    <n v="72.599999999999994"/>
    <n v="51.9"/>
    <n v="59.9"/>
    <n v="61.3"/>
    <s v="B.E. ECE"/>
    <n v="3"/>
    <s v="Group A"/>
    <n v="33"/>
    <n v="7"/>
    <n v="80"/>
    <s v="Core"/>
    <n v="4"/>
    <s v="Faculty A"/>
    <s v="Good"/>
    <n v="1"/>
    <n v="0"/>
    <n v="0"/>
    <n v="7"/>
    <x v="1"/>
  </r>
  <r>
    <s v="STU079"/>
    <x v="1"/>
    <n v="39"/>
    <n v="25"/>
    <n v="61.53846153846154"/>
    <b v="1"/>
    <m/>
    <n v="67.8"/>
    <n v="44.7"/>
    <n v="45.9"/>
    <n v="52.8"/>
    <s v="B.E. ECE"/>
    <n v="3"/>
    <s v="Group A"/>
    <n v="19"/>
    <n v="10"/>
    <n v="52"/>
    <s v="Practical"/>
    <n v="2"/>
    <s v="Faculty A"/>
    <s v="Developing"/>
    <n v="1"/>
    <n v="0"/>
    <n v="1"/>
    <n v="10"/>
    <x v="0"/>
  </r>
  <r>
    <s v="STU079"/>
    <x v="2"/>
    <n v="31"/>
    <n v="24"/>
    <n v="48.387096774193552"/>
    <b v="1"/>
    <n v="44.5"/>
    <n v="56.8"/>
    <n v="49.5"/>
    <n v="76.599999999999994"/>
    <n v="56.85"/>
    <s v="B.E. ECE"/>
    <n v="3"/>
    <s v="Group A"/>
    <n v="14"/>
    <n v="8"/>
    <n v="63"/>
    <s v="Core"/>
    <n v="3"/>
    <s v="Faculty D"/>
    <s v="Developing"/>
    <n v="1"/>
    <n v="0"/>
    <n v="0"/>
    <n v="8"/>
    <x v="0"/>
  </r>
  <r>
    <s v="STU079"/>
    <x v="3"/>
    <n v="27"/>
    <n v="15"/>
    <n v="81.481481481481481"/>
    <b v="1"/>
    <n v="73.599999999999994"/>
    <n v="63.2"/>
    <n v="66.8"/>
    <n v="69.5"/>
    <n v="68.275000000000006"/>
    <s v="B.E. ECE"/>
    <n v="3"/>
    <s v="Group A"/>
    <n v="19"/>
    <n v="8"/>
    <n v="36"/>
    <s v="Core"/>
    <n v="3"/>
    <s v="Faculty G"/>
    <s v="Good"/>
    <n v="0"/>
    <n v="0"/>
    <n v="0"/>
    <n v="8"/>
    <x v="1"/>
  </r>
  <r>
    <s v="STU079"/>
    <x v="7"/>
    <n v="33"/>
    <n v="22"/>
    <n v="60.606060606060609"/>
    <b v="1"/>
    <n v="64.7"/>
    <n v="87.5"/>
    <n v="64.3"/>
    <n v="47.2"/>
    <n v="65.924999999999997"/>
    <s v="B.E. ECE"/>
    <n v="3"/>
    <s v="Group A"/>
    <n v="19"/>
    <n v="9"/>
    <n v="55"/>
    <s v="Core"/>
    <n v="4"/>
    <s v="Faculty C"/>
    <s v="Good"/>
    <n v="1"/>
    <n v="0"/>
    <n v="0"/>
    <n v="9"/>
    <x v="1"/>
  </r>
  <r>
    <s v="STU079"/>
    <x v="5"/>
    <n v="33"/>
    <n v="20"/>
    <n v="63.636363636363633"/>
    <b v="1"/>
    <n v="51.6"/>
    <n v="72.400000000000006"/>
    <n v="61.5"/>
    <n v="69.099999999999994"/>
    <n v="63.65"/>
    <s v="B.E. ECE"/>
    <n v="3"/>
    <s v="Group A"/>
    <n v="9"/>
    <n v="12"/>
    <n v="25"/>
    <s v="Foundation"/>
    <n v="4"/>
    <s v="Faculty E"/>
    <s v="Good"/>
    <n v="1"/>
    <n v="0"/>
    <n v="0"/>
    <n v="12"/>
    <x v="1"/>
  </r>
  <r>
    <s v="STU080"/>
    <x v="0"/>
    <n v="32"/>
    <n v="21"/>
    <n v="65.625"/>
    <b v="1"/>
    <n v="55.1"/>
    <n v="59.6"/>
    <n v="64.599999999999994"/>
    <n v="70.099999999999994"/>
    <n v="62.35"/>
    <s v="B.Tech IT"/>
    <n v="4"/>
    <s v="Group C"/>
    <n v="15"/>
    <n v="12"/>
    <n v="46"/>
    <s v="Core"/>
    <n v="4"/>
    <s v="Faculty A"/>
    <s v="Good"/>
    <n v="1"/>
    <n v="0"/>
    <n v="0"/>
    <n v="12"/>
    <x v="1"/>
  </r>
  <r>
    <s v="STU080"/>
    <x v="1"/>
    <n v="40"/>
    <n v="21"/>
    <n v="72.5"/>
    <b v="1"/>
    <n v="80.599999999999994"/>
    <n v="68.3"/>
    <n v="77.400000000000006"/>
    <n v="58.8"/>
    <n v="71.274999999999991"/>
    <s v="B.Tech IT"/>
    <n v="4"/>
    <s v="Group C"/>
    <n v="14"/>
    <n v="7"/>
    <n v="47"/>
    <s v="Practical"/>
    <n v="2"/>
    <s v="Faculty A"/>
    <s v="Good"/>
    <n v="1"/>
    <n v="0"/>
    <n v="0"/>
    <n v="7"/>
    <x v="1"/>
  </r>
  <r>
    <s v="STU080"/>
    <x v="3"/>
    <n v="29"/>
    <n v="29"/>
    <n v="55.172413793103438"/>
    <b v="1"/>
    <n v="79.5"/>
    <n v="84.4"/>
    <n v="92.8"/>
    <n v="93.2"/>
    <n v="87.474999999999994"/>
    <s v="B.Tech IT"/>
    <n v="4"/>
    <s v="Group C"/>
    <n v="21"/>
    <n v="6"/>
    <n v="52"/>
    <s v="Core"/>
    <n v="3"/>
    <s v="Faculty G"/>
    <s v="High Performance"/>
    <n v="1"/>
    <n v="0"/>
    <n v="0"/>
    <n v="6"/>
    <x v="1"/>
  </r>
  <r>
    <s v="STU080"/>
    <x v="7"/>
    <n v="28"/>
    <n v="16"/>
    <n v="64.285714285714292"/>
    <b v="1"/>
    <n v="51.3"/>
    <n v="91.7"/>
    <n v="69.599999999999994"/>
    <n v="78.5"/>
    <n v="72.775000000000006"/>
    <s v="B.Tech IT"/>
    <n v="4"/>
    <s v="Group C"/>
    <n v="14"/>
    <n v="10"/>
    <n v="42"/>
    <s v="Core"/>
    <n v="4"/>
    <s v="Faculty C"/>
    <s v="Good"/>
    <n v="1"/>
    <n v="0"/>
    <n v="0"/>
    <n v="10"/>
    <x v="1"/>
  </r>
  <r>
    <s v="STU080"/>
    <x v="4"/>
    <n v="26"/>
    <n v="18"/>
    <n v="57.692307692307693"/>
    <b v="1"/>
    <n v="70.099999999999994"/>
    <n v="58.8"/>
    <n v="88.8"/>
    <n v="76.599999999999994"/>
    <n v="73.574999999999989"/>
    <s v="B.Tech IT"/>
    <n v="4"/>
    <s v="Group C"/>
    <n v="21"/>
    <n v="8"/>
    <n v="56"/>
    <s v="Elective"/>
    <n v="3"/>
    <s v="Faculty F"/>
    <s v="Good"/>
    <n v="1"/>
    <n v="0"/>
    <n v="0"/>
    <n v="8"/>
    <x v="1"/>
  </r>
  <r>
    <s v="STU080"/>
    <x v="5"/>
    <n v="39"/>
    <n v="15"/>
    <n v="64.102564102564102"/>
    <b v="1"/>
    <n v="54.6"/>
    <n v="72.400000000000006"/>
    <n v="55.4"/>
    <n v="96.2"/>
    <n v="69.650000000000006"/>
    <s v="B.Tech IT"/>
    <n v="4"/>
    <s v="Group C"/>
    <n v="22"/>
    <n v="5"/>
    <n v="46"/>
    <s v="Foundation"/>
    <n v="4"/>
    <s v="Faculty E"/>
    <s v="Good"/>
    <n v="1"/>
    <n v="0"/>
    <n v="0"/>
    <n v="5"/>
    <x v="1"/>
  </r>
  <r>
    <s v="STU081"/>
    <x v="6"/>
    <n v="25"/>
    <n v="25"/>
    <n v="64"/>
    <b v="1"/>
    <n v="76.7"/>
    <n v="67.3"/>
    <n v="45.9"/>
    <n v="68.2"/>
    <n v="64.525000000000006"/>
    <s v="B.Tech IT"/>
    <n v="5"/>
    <s v="Group C"/>
    <n v="10"/>
    <n v="6"/>
    <n v="41"/>
    <s v="Core"/>
    <n v="3"/>
    <s v="Faculty B"/>
    <s v="Good"/>
    <n v="1"/>
    <n v="0"/>
    <n v="0"/>
    <n v="6"/>
    <x v="1"/>
  </r>
  <r>
    <s v="STU081"/>
    <x v="1"/>
    <n v="38"/>
    <n v="16"/>
    <n v="63.157894736842103"/>
    <b v="1"/>
    <n v="52.5"/>
    <n v="62.3"/>
    <n v="54.2"/>
    <n v="60.6"/>
    <n v="57.4"/>
    <s v="B.Tech IT"/>
    <n v="5"/>
    <s v="Group C"/>
    <n v="14"/>
    <n v="11"/>
    <n v="36"/>
    <s v="Practical"/>
    <n v="2"/>
    <s v="Faculty A"/>
    <s v="Developing"/>
    <n v="1"/>
    <n v="0"/>
    <n v="0"/>
    <n v="11"/>
    <x v="0"/>
  </r>
  <r>
    <s v="STU081"/>
    <x v="2"/>
    <n v="25"/>
    <n v="24"/>
    <n v="28"/>
    <b v="1"/>
    <n v="39.5"/>
    <n v="57.8"/>
    <n v="34.700000000000003"/>
    <n v="62.6"/>
    <n v="48.65"/>
    <s v="B.Tech IT"/>
    <n v="5"/>
    <s v="Group C"/>
    <m/>
    <n v="11"/>
    <m/>
    <s v="Core"/>
    <n v="3"/>
    <s v="Faculty D"/>
    <s v="Developing"/>
    <n v="1"/>
    <n v="1"/>
    <n v="0"/>
    <n v="11"/>
    <x v="0"/>
  </r>
  <r>
    <s v="STU081"/>
    <x v="7"/>
    <n v="36"/>
    <n v="7"/>
    <n v="63.888888888888893"/>
    <b v="1"/>
    <n v="64.7"/>
    <n v="50.5"/>
    <n v="63.5"/>
    <n v="63.5"/>
    <n v="60.55"/>
    <s v="B.Tech IT"/>
    <n v="5"/>
    <s v="Group C"/>
    <n v="17"/>
    <n v="7"/>
    <n v="72"/>
    <s v="Core"/>
    <n v="4"/>
    <s v="Faculty C"/>
    <s v="Good"/>
    <n v="1"/>
    <n v="0"/>
    <n v="0"/>
    <n v="7"/>
    <x v="1"/>
  </r>
  <r>
    <s v="STU081"/>
    <x v="4"/>
    <n v="31"/>
    <n v="23"/>
    <n v="61.29032258064516"/>
    <b v="1"/>
    <n v="69.599999999999994"/>
    <n v="62.1"/>
    <n v="36.700000000000003"/>
    <n v="59.8"/>
    <n v="57.05"/>
    <s v="B.Tech IT"/>
    <n v="5"/>
    <s v="Group C"/>
    <n v="18"/>
    <n v="7"/>
    <n v="59"/>
    <s v="Elective"/>
    <n v="3"/>
    <s v="Faculty F"/>
    <s v="Developing"/>
    <n v="1"/>
    <n v="0"/>
    <n v="0"/>
    <n v="7"/>
    <x v="0"/>
  </r>
  <r>
    <s v="STU081"/>
    <x v="5"/>
    <n v="26"/>
    <n v="19"/>
    <n v="53.846153846153847"/>
    <b v="1"/>
    <n v="50.1"/>
    <n v="56.1"/>
    <n v="77.8"/>
    <n v="46.6"/>
    <n v="57.65"/>
    <s v="B.Tech IT"/>
    <n v="5"/>
    <s v="Group C"/>
    <n v="15"/>
    <n v="7"/>
    <n v="49"/>
    <s v="Foundation"/>
    <n v="4"/>
    <s v="Faculty E"/>
    <s v="Developing"/>
    <n v="1"/>
    <n v="0"/>
    <n v="0"/>
    <n v="7"/>
    <x v="0"/>
  </r>
  <r>
    <s v="STU082"/>
    <x v="0"/>
    <n v="31"/>
    <n v="14"/>
    <n v="67.741935483870961"/>
    <b v="1"/>
    <n v="61.5"/>
    <n v="78.400000000000006"/>
    <n v="76.400000000000006"/>
    <n v="76.400000000000006"/>
    <n v="73.175000000000011"/>
    <s v="B.E. ECE"/>
    <n v="6"/>
    <s v="Group B"/>
    <n v="25"/>
    <n v="11"/>
    <n v="68"/>
    <s v="Core"/>
    <n v="4"/>
    <s v="Faculty A"/>
    <s v="Good"/>
    <n v="1"/>
    <n v="0"/>
    <n v="0"/>
    <n v="11"/>
    <x v="1"/>
  </r>
  <r>
    <s v="STU082"/>
    <x v="1"/>
    <n v="33"/>
    <n v="21"/>
    <n v="66.666666666666657"/>
    <b v="1"/>
    <n v="85"/>
    <n v="78.7"/>
    <n v="69.3"/>
    <n v="66.7"/>
    <n v="74.924999999999997"/>
    <s v="B.E. ECE"/>
    <n v="6"/>
    <s v="Group B"/>
    <n v="13"/>
    <n v="10"/>
    <n v="42"/>
    <s v="Practical"/>
    <n v="2"/>
    <s v="Faculty A"/>
    <s v="Good"/>
    <n v="1"/>
    <n v="0"/>
    <n v="0"/>
    <n v="10"/>
    <x v="1"/>
  </r>
  <r>
    <s v="STU082"/>
    <x v="2"/>
    <n v="24"/>
    <n v="22"/>
    <n v="45.833333333333329"/>
    <b v="1"/>
    <n v="42.3"/>
    <n v="75.599999999999994"/>
    <n v="59.2"/>
    <n v="61.8"/>
    <n v="59.725000000000001"/>
    <s v="B.E. ECE"/>
    <n v="6"/>
    <s v="Group B"/>
    <n v="22"/>
    <n v="6"/>
    <n v="67"/>
    <s v="Core"/>
    <n v="3"/>
    <s v="Faculty D"/>
    <s v="Developing"/>
    <n v="1"/>
    <n v="0"/>
    <n v="0"/>
    <n v="6"/>
    <x v="0"/>
  </r>
  <r>
    <s v="STU082"/>
    <x v="4"/>
    <n v="30"/>
    <n v="11"/>
    <n v="56.666666666666657"/>
    <b v="1"/>
    <m/>
    <n v="73.5"/>
    <n v="63.7"/>
    <n v="91"/>
    <n v="76.066666666666663"/>
    <s v="B.E. ECE"/>
    <n v="6"/>
    <s v="Group B"/>
    <n v="16"/>
    <n v="9"/>
    <n v="60"/>
    <s v="Elective"/>
    <n v="3"/>
    <s v="Faculty F"/>
    <s v="High Performance"/>
    <n v="1"/>
    <n v="0"/>
    <n v="1"/>
    <n v="9"/>
    <x v="1"/>
  </r>
  <r>
    <s v="STU082"/>
    <x v="5"/>
    <n v="40"/>
    <n v="17"/>
    <n v="45"/>
    <b v="1"/>
    <n v="74.900000000000006"/>
    <n v="66.400000000000006"/>
    <n v="72.7"/>
    <n v="67.599999999999994"/>
    <n v="70.400000000000006"/>
    <s v="B.E. ECE"/>
    <n v="6"/>
    <s v="Group B"/>
    <n v="20"/>
    <n v="11"/>
    <n v="58"/>
    <s v="Foundation"/>
    <n v="4"/>
    <s v="Faculty E"/>
    <s v="Good"/>
    <n v="1"/>
    <n v="0"/>
    <n v="0"/>
    <n v="11"/>
    <x v="1"/>
  </r>
  <r>
    <s v="STU083"/>
    <x v="6"/>
    <n v="25"/>
    <n v="18"/>
    <n v="56.000000000000007"/>
    <b v="1"/>
    <n v="27.7"/>
    <n v="37"/>
    <n v="29.8"/>
    <n v="31.6"/>
    <n v="31.524999999999999"/>
    <s v="B.Tech IT"/>
    <n v="5"/>
    <s v="Group A"/>
    <n v="24"/>
    <n v="8"/>
    <n v="67"/>
    <s v="Core"/>
    <n v="3"/>
    <s v="Faculty B"/>
    <s v="Needs Support"/>
    <n v="1"/>
    <n v="0"/>
    <n v="0"/>
    <n v="8"/>
    <x v="0"/>
  </r>
  <r>
    <s v="STU083"/>
    <x v="1"/>
    <n v="31"/>
    <n v="14"/>
    <n v="58.064516129032263"/>
    <b v="1"/>
    <n v="7.2"/>
    <n v="36.700000000000003"/>
    <n v="45.1"/>
    <n v="40.200000000000003"/>
    <n v="32.299999999999997"/>
    <s v="B.Tech IT"/>
    <n v="5"/>
    <s v="Group A"/>
    <n v="20"/>
    <n v="8"/>
    <n v="68"/>
    <s v="Practical"/>
    <n v="2"/>
    <s v="Faculty A"/>
    <s v="Needs Support"/>
    <n v="1"/>
    <n v="0"/>
    <n v="0"/>
    <n v="8"/>
    <x v="0"/>
  </r>
  <r>
    <s v="STU083"/>
    <x v="2"/>
    <n v="26"/>
    <n v="18"/>
    <n v="50"/>
    <b v="1"/>
    <n v="48.8"/>
    <n v="43.9"/>
    <n v="59.1"/>
    <n v="48"/>
    <n v="49.95"/>
    <s v="B.Tech IT"/>
    <n v="5"/>
    <s v="Group A"/>
    <n v="11"/>
    <n v="8"/>
    <n v="56"/>
    <s v="Core"/>
    <n v="3"/>
    <s v="Faculty D"/>
    <s v="Developing"/>
    <n v="1"/>
    <n v="0"/>
    <n v="0"/>
    <n v="8"/>
    <x v="0"/>
  </r>
  <r>
    <s v="STU083"/>
    <x v="4"/>
    <n v="26"/>
    <n v="13"/>
    <n v="57.692307692307693"/>
    <b v="1"/>
    <n v="52.7"/>
    <n v="35.700000000000003"/>
    <n v="50.2"/>
    <n v="43.6"/>
    <n v="45.55"/>
    <s v="B.Tech IT"/>
    <n v="5"/>
    <s v="Group A"/>
    <n v="17"/>
    <n v="7"/>
    <n v="55"/>
    <s v="Elective"/>
    <n v="3"/>
    <s v="Faculty F"/>
    <s v="Developing"/>
    <n v="1"/>
    <n v="0"/>
    <n v="0"/>
    <n v="7"/>
    <x v="0"/>
  </r>
  <r>
    <s v="STU084"/>
    <x v="1"/>
    <n v="30"/>
    <n v="15"/>
    <n v="70"/>
    <b v="1"/>
    <n v="55.1"/>
    <n v="61.3"/>
    <n v="65.5"/>
    <n v="79.2"/>
    <n v="65.275000000000006"/>
    <s v="B.E. CSE"/>
    <n v="3"/>
    <s v="Group B"/>
    <n v="20"/>
    <n v="7"/>
    <n v="63"/>
    <s v="Practical"/>
    <n v="2"/>
    <s v="Faculty A"/>
    <s v="Good"/>
    <n v="1"/>
    <n v="0"/>
    <n v="0"/>
    <n v="7"/>
    <x v="1"/>
  </r>
  <r>
    <s v="STU084"/>
    <x v="2"/>
    <n v="36"/>
    <n v="21"/>
    <n v="52.777777777777779"/>
    <b v="1"/>
    <n v="34.9"/>
    <n v="45.3"/>
    <n v="41.4"/>
    <n v="52.4"/>
    <n v="43.5"/>
    <s v="B.E. CSE"/>
    <n v="3"/>
    <s v="Group B"/>
    <n v="18"/>
    <n v="6"/>
    <n v="24"/>
    <s v="Core"/>
    <n v="3"/>
    <s v="Faculty D"/>
    <s v="Developing"/>
    <n v="1"/>
    <n v="0"/>
    <n v="0"/>
    <n v="6"/>
    <x v="0"/>
  </r>
  <r>
    <s v="STU084"/>
    <x v="3"/>
    <n v="29"/>
    <n v="19"/>
    <n v="55.172413793103438"/>
    <b v="1"/>
    <n v="85.5"/>
    <n v="62.4"/>
    <n v="50.3"/>
    <n v="63.7"/>
    <n v="65.474999999999994"/>
    <s v="B.E. CSE"/>
    <n v="3"/>
    <s v="Group B"/>
    <n v="25"/>
    <n v="3"/>
    <n v="56"/>
    <s v="Core"/>
    <n v="3"/>
    <s v="Faculty G"/>
    <s v="Good"/>
    <n v="1"/>
    <n v="0"/>
    <n v="0"/>
    <n v="3"/>
    <x v="1"/>
  </r>
  <r>
    <s v="STU084"/>
    <x v="7"/>
    <n v="38"/>
    <n v="16"/>
    <n v="71.05263157894737"/>
    <b v="1"/>
    <n v="60.7"/>
    <n v="72"/>
    <n v="57.8"/>
    <n v="70.099999999999994"/>
    <n v="65.150000000000006"/>
    <s v="B.E. CSE"/>
    <n v="3"/>
    <s v="Group B"/>
    <n v="13"/>
    <n v="11"/>
    <n v="33"/>
    <s v="Core"/>
    <n v="4"/>
    <s v="Faculty C"/>
    <s v="Good"/>
    <n v="1"/>
    <n v="0"/>
    <n v="0"/>
    <n v="11"/>
    <x v="1"/>
  </r>
  <r>
    <s v="STU084"/>
    <x v="4"/>
    <n v="37"/>
    <n v="27"/>
    <n v="56.756756756756758"/>
    <b v="1"/>
    <n v="76.400000000000006"/>
    <n v="57"/>
    <n v="68.5"/>
    <n v="65"/>
    <n v="66.724999999999994"/>
    <s v="B.E. CSE"/>
    <n v="3"/>
    <s v="Group B"/>
    <n v="17"/>
    <n v="7"/>
    <n v="50"/>
    <s v="Elective"/>
    <n v="3"/>
    <s v="Faculty F"/>
    <s v="Good"/>
    <n v="1"/>
    <n v="0"/>
    <n v="0"/>
    <n v="7"/>
    <x v="1"/>
  </r>
  <r>
    <s v="STU084"/>
    <x v="5"/>
    <n v="26"/>
    <n v="21"/>
    <n v="73.076923076923066"/>
    <b v="1"/>
    <n v="71.8"/>
    <n v="71"/>
    <n v="77.5"/>
    <n v="83.7"/>
    <n v="76"/>
    <s v="B.E. CSE"/>
    <n v="3"/>
    <s v="Group B"/>
    <n v="16"/>
    <n v="9"/>
    <n v="59"/>
    <s v="Foundation"/>
    <n v="4"/>
    <s v="Faculty E"/>
    <s v="High Performance"/>
    <n v="1"/>
    <n v="0"/>
    <n v="0"/>
    <n v="9"/>
    <x v="1"/>
  </r>
  <r>
    <s v="STU085"/>
    <x v="0"/>
    <n v="39"/>
    <n v="19"/>
    <n v="35.897435897435898"/>
    <b v="1"/>
    <n v="65.099999999999994"/>
    <n v="67.099999999999994"/>
    <n v="60.3"/>
    <n v="60.3"/>
    <n v="63.2"/>
    <s v="B.E. CSE"/>
    <n v="3"/>
    <s v="Group C"/>
    <n v="11"/>
    <n v="9"/>
    <n v="44"/>
    <s v="Core"/>
    <n v="4"/>
    <s v="Faculty A"/>
    <s v="Good"/>
    <n v="1"/>
    <n v="0"/>
    <n v="0"/>
    <n v="9"/>
    <x v="1"/>
  </r>
  <r>
    <s v="STU085"/>
    <x v="6"/>
    <n v="31"/>
    <n v="14"/>
    <n v="61.29032258064516"/>
    <b v="1"/>
    <n v="49.9"/>
    <n v="59.9"/>
    <m/>
    <n v="57.5"/>
    <n v="55.766666666666673"/>
    <s v="B.E. CSE"/>
    <n v="3"/>
    <s v="Group C"/>
    <n v="22"/>
    <n v="8"/>
    <n v="67"/>
    <s v="Core"/>
    <n v="3"/>
    <s v="Faculty B"/>
    <s v="Developing"/>
    <n v="1"/>
    <n v="0"/>
    <n v="1"/>
    <n v="8"/>
    <x v="0"/>
  </r>
  <r>
    <s v="STU085"/>
    <x v="2"/>
    <n v="29"/>
    <n v="19"/>
    <n v="62.068965517241381"/>
    <b v="1"/>
    <n v="72.3"/>
    <n v="65.3"/>
    <n v="65.599999999999994"/>
    <n v="55"/>
    <n v="64.55"/>
    <s v="B.E. CSE"/>
    <n v="3"/>
    <s v="Group C"/>
    <n v="11"/>
    <n v="11"/>
    <n v="41"/>
    <s v="Core"/>
    <n v="3"/>
    <s v="Faculty D"/>
    <s v="Good"/>
    <n v="1"/>
    <n v="0"/>
    <n v="0"/>
    <n v="11"/>
    <x v="1"/>
  </r>
  <r>
    <s v="STU085"/>
    <x v="3"/>
    <n v="34"/>
    <n v="18"/>
    <n v="61.764705882352942"/>
    <b v="1"/>
    <n v="44.2"/>
    <n v="60.3"/>
    <n v="43.9"/>
    <n v="53.1"/>
    <n v="50.375"/>
    <s v="B.E. CSE"/>
    <n v="3"/>
    <s v="Group C"/>
    <n v="9"/>
    <n v="8"/>
    <n v="41"/>
    <s v="Core"/>
    <n v="3"/>
    <s v="Faculty G"/>
    <s v="Developing"/>
    <n v="1"/>
    <n v="0"/>
    <n v="0"/>
    <n v="8"/>
    <x v="0"/>
  </r>
  <r>
    <s v="STU085"/>
    <x v="7"/>
    <n v="33"/>
    <n v="21"/>
    <n v="90.909090909090907"/>
    <b v="1"/>
    <n v="75.099999999999994"/>
    <n v="72.400000000000006"/>
    <n v="83.4"/>
    <n v="59.4"/>
    <n v="72.575000000000003"/>
    <s v="B.E. CSE"/>
    <n v="3"/>
    <s v="Group C"/>
    <n v="6"/>
    <n v="7"/>
    <n v="36"/>
    <s v="Core"/>
    <n v="4"/>
    <s v="Faculty C"/>
    <s v="Good"/>
    <n v="0"/>
    <n v="0"/>
    <n v="0"/>
    <n v="7"/>
    <x v="1"/>
  </r>
  <r>
    <s v="STU085"/>
    <x v="5"/>
    <n v="33"/>
    <n v="30"/>
    <n v="51.515151515151523"/>
    <b v="1"/>
    <n v="43.3"/>
    <n v="44"/>
    <n v="28.8"/>
    <n v="57.1"/>
    <n v="43.3"/>
    <s v="B.E. CSE"/>
    <n v="3"/>
    <s v="Group C"/>
    <n v="13"/>
    <n v="10"/>
    <n v="46"/>
    <s v="Foundation"/>
    <n v="4"/>
    <s v="Faculty E"/>
    <s v="Developing"/>
    <n v="1"/>
    <n v="0"/>
    <n v="0"/>
    <n v="10"/>
    <x v="0"/>
  </r>
  <r>
    <s v="STU086"/>
    <x v="0"/>
    <n v="28"/>
    <n v="17"/>
    <n v="46.428571428571431"/>
    <b v="1"/>
    <n v="55.4"/>
    <n v="62.8"/>
    <n v="53.2"/>
    <n v="86.5"/>
    <n v="64.474999999999994"/>
    <s v="B.E. CSE"/>
    <n v="4"/>
    <s v="Group B"/>
    <n v="5"/>
    <n v="8"/>
    <n v="29"/>
    <s v="Core"/>
    <n v="4"/>
    <s v="Faculty A"/>
    <s v="Good"/>
    <n v="1"/>
    <n v="0"/>
    <n v="0"/>
    <n v="8"/>
    <x v="1"/>
  </r>
  <r>
    <s v="STU086"/>
    <x v="1"/>
    <n v="39"/>
    <n v="13"/>
    <n v="69.230769230769226"/>
    <b v="1"/>
    <n v="38.9"/>
    <n v="39.1"/>
    <n v="61.7"/>
    <n v="60.8"/>
    <n v="50.125"/>
    <s v="B.E. CSE"/>
    <n v="4"/>
    <s v="Group B"/>
    <n v="20"/>
    <n v="6"/>
    <n v="72"/>
    <s v="Practical"/>
    <n v="2"/>
    <s v="Faculty A"/>
    <s v="Developing"/>
    <n v="1"/>
    <n v="0"/>
    <n v="0"/>
    <n v="6"/>
    <x v="0"/>
  </r>
  <r>
    <s v="STU086"/>
    <x v="3"/>
    <n v="30"/>
    <n v="27"/>
    <n v="50"/>
    <b v="1"/>
    <n v="72"/>
    <n v="66.7"/>
    <n v="56.4"/>
    <n v="68.2"/>
    <n v="65.825000000000003"/>
    <s v="B.E. CSE"/>
    <n v="4"/>
    <s v="Group B"/>
    <n v="16"/>
    <n v="8"/>
    <n v="47"/>
    <s v="Core"/>
    <n v="3"/>
    <s v="Faculty G"/>
    <s v="Good"/>
    <n v="1"/>
    <n v="0"/>
    <n v="0"/>
    <n v="8"/>
    <x v="1"/>
  </r>
  <r>
    <s v="STU086"/>
    <x v="7"/>
    <n v="29"/>
    <n v="15"/>
    <n v="55.172413793103438"/>
    <b v="1"/>
    <n v="61"/>
    <n v="36.700000000000003"/>
    <n v="44.5"/>
    <n v="65.7"/>
    <n v="51.975000000000001"/>
    <s v="B.E. CSE"/>
    <n v="4"/>
    <s v="Group B"/>
    <n v="15"/>
    <n v="9"/>
    <n v="57"/>
    <s v="Core"/>
    <n v="4"/>
    <s v="Faculty C"/>
    <s v="Developing"/>
    <n v="1"/>
    <n v="0"/>
    <n v="0"/>
    <n v="9"/>
    <x v="0"/>
  </r>
  <r>
    <s v="STU086"/>
    <x v="4"/>
    <n v="37"/>
    <n v="16"/>
    <n v="51.351351351351347"/>
    <b v="1"/>
    <n v="68.8"/>
    <n v="53.7"/>
    <n v="48.9"/>
    <n v="67.2"/>
    <n v="59.650000000000013"/>
    <s v="B.E. CSE"/>
    <n v="4"/>
    <s v="Group B"/>
    <n v="31"/>
    <n v="9"/>
    <n v="90"/>
    <s v="Elective"/>
    <n v="3"/>
    <s v="Faculty F"/>
    <s v="Developing"/>
    <n v="1"/>
    <n v="0"/>
    <n v="0"/>
    <n v="9"/>
    <x v="0"/>
  </r>
  <r>
    <s v="STU087"/>
    <x v="0"/>
    <n v="28"/>
    <n v="19"/>
    <n v="46.428571428571431"/>
    <b v="1"/>
    <n v="73.900000000000006"/>
    <n v="69.2"/>
    <n v="79.099999999999994"/>
    <n v="64.2"/>
    <n v="71.600000000000009"/>
    <s v="B.Tech IT"/>
    <n v="3"/>
    <s v="Group C"/>
    <n v="19"/>
    <n v="11"/>
    <n v="50"/>
    <s v="Core"/>
    <n v="4"/>
    <s v="Faculty A"/>
    <s v="Good"/>
    <n v="1"/>
    <n v="0"/>
    <n v="0"/>
    <n v="11"/>
    <x v="1"/>
  </r>
  <r>
    <s v="STU087"/>
    <x v="6"/>
    <n v="35"/>
    <n v="13"/>
    <n v="62.857142857142847"/>
    <b v="1"/>
    <n v="87.3"/>
    <n v="85.7"/>
    <n v="92.4"/>
    <n v="83.6"/>
    <n v="87.25"/>
    <s v="B.Tech IT"/>
    <n v="3"/>
    <s v="Group C"/>
    <n v="12"/>
    <n v="14"/>
    <n v="36"/>
    <s v="Core"/>
    <n v="3"/>
    <s v="Faculty B"/>
    <s v="High Performance"/>
    <n v="1"/>
    <n v="0"/>
    <n v="0"/>
    <n v="14"/>
    <x v="1"/>
  </r>
  <r>
    <s v="STU087"/>
    <x v="1"/>
    <n v="38"/>
    <n v="22"/>
    <n v="34.210526315789473"/>
    <b v="1"/>
    <n v="86.8"/>
    <n v="81.599999999999994"/>
    <n v="87"/>
    <n v="78.3"/>
    <n v="83.424999999999997"/>
    <s v="B.Tech IT"/>
    <n v="3"/>
    <s v="Group C"/>
    <n v="10"/>
    <n v="10"/>
    <n v="38"/>
    <s v="Practical"/>
    <n v="2"/>
    <s v="Faculty A"/>
    <s v="High Performance"/>
    <n v="1"/>
    <n v="0"/>
    <n v="0"/>
    <n v="10"/>
    <x v="1"/>
  </r>
  <r>
    <s v="STU087"/>
    <x v="2"/>
    <n v="30"/>
    <n v="13"/>
    <n v="63.333333333333329"/>
    <b v="1"/>
    <n v="76.599999999999994"/>
    <n v="94.9"/>
    <n v="85.8"/>
    <n v="79.8"/>
    <n v="84.275000000000006"/>
    <s v="B.Tech IT"/>
    <n v="3"/>
    <s v="Group C"/>
    <n v="12"/>
    <n v="10"/>
    <n v="59"/>
    <s v="Core"/>
    <n v="3"/>
    <s v="Faculty D"/>
    <s v="High Performance"/>
    <n v="1"/>
    <n v="0"/>
    <n v="0"/>
    <n v="10"/>
    <x v="1"/>
  </r>
  <r>
    <s v="STU087"/>
    <x v="4"/>
    <n v="30"/>
    <n v="19"/>
    <n v="70"/>
    <b v="1"/>
    <n v="76.400000000000006"/>
    <n v="85.8"/>
    <n v="78.5"/>
    <n v="89.6"/>
    <n v="82.574999999999989"/>
    <s v="B.Tech IT"/>
    <n v="3"/>
    <s v="Group C"/>
    <n v="7"/>
    <n v="13"/>
    <n v="31"/>
    <s v="Elective"/>
    <n v="3"/>
    <s v="Faculty F"/>
    <s v="High Performance"/>
    <n v="1"/>
    <n v="0"/>
    <n v="0"/>
    <n v="13"/>
    <x v="1"/>
  </r>
  <r>
    <s v="STU088"/>
    <x v="0"/>
    <n v="40"/>
    <n v="21"/>
    <n v="57.499999999999993"/>
    <b v="1"/>
    <n v="68.5"/>
    <n v="76.8"/>
    <n v="70.900000000000006"/>
    <n v="94.9"/>
    <n v="77.775000000000006"/>
    <s v="B.E. ECE"/>
    <n v="5"/>
    <s v="Group B"/>
    <n v="8"/>
    <n v="7"/>
    <n v="17"/>
    <s v="Core"/>
    <n v="4"/>
    <s v="Faculty A"/>
    <s v="High Performance"/>
    <n v="1"/>
    <n v="0"/>
    <n v="0"/>
    <n v="7"/>
    <x v="1"/>
  </r>
  <r>
    <s v="STU088"/>
    <x v="6"/>
    <n v="26"/>
    <n v="23"/>
    <n v="92.307692307692307"/>
    <b v="1"/>
    <n v="60.9"/>
    <n v="80.900000000000006"/>
    <n v="41.2"/>
    <n v="64.900000000000006"/>
    <n v="61.975000000000001"/>
    <s v="B.E. ECE"/>
    <n v="5"/>
    <s v="Group B"/>
    <n v="18"/>
    <n v="9"/>
    <n v="38"/>
    <s v="Core"/>
    <n v="3"/>
    <s v="Faculty B"/>
    <s v="Good"/>
    <n v="0"/>
    <n v="0"/>
    <n v="0"/>
    <n v="9"/>
    <x v="1"/>
  </r>
  <r>
    <s v="STU088"/>
    <x v="1"/>
    <n v="40"/>
    <n v="24"/>
    <n v="47.5"/>
    <b v="1"/>
    <n v="66.3"/>
    <n v="80.5"/>
    <n v="77.5"/>
    <n v="79.5"/>
    <n v="75.95"/>
    <s v="B.E. ECE"/>
    <n v="5"/>
    <s v="Group B"/>
    <n v="13"/>
    <n v="9"/>
    <n v="41"/>
    <s v="Practical"/>
    <n v="2"/>
    <s v="Faculty A"/>
    <s v="High Performance"/>
    <n v="1"/>
    <n v="0"/>
    <n v="0"/>
    <n v="9"/>
    <x v="1"/>
  </r>
  <r>
    <s v="STU088"/>
    <x v="7"/>
    <n v="38"/>
    <n v="19"/>
    <n v="55.26315789473685"/>
    <b v="1"/>
    <n v="55.7"/>
    <n v="49.3"/>
    <n v="48.2"/>
    <n v="82.3"/>
    <n v="58.875"/>
    <s v="B.E. ECE"/>
    <n v="5"/>
    <s v="Group B"/>
    <n v="20"/>
    <n v="10"/>
    <n v="47"/>
    <s v="Core"/>
    <n v="4"/>
    <s v="Faculty C"/>
    <s v="Developing"/>
    <n v="1"/>
    <n v="0"/>
    <n v="0"/>
    <n v="10"/>
    <x v="0"/>
  </r>
  <r>
    <s v="STU089"/>
    <x v="0"/>
    <n v="39"/>
    <n v="21"/>
    <n v="79.487179487179489"/>
    <b v="1"/>
    <n v="81.900000000000006"/>
    <n v="69.599999999999994"/>
    <n v="66.099999999999994"/>
    <n v="85.1"/>
    <n v="75.674999999999997"/>
    <s v="B.E. CSE"/>
    <n v="3"/>
    <s v="Group B"/>
    <n v="16"/>
    <n v="9"/>
    <n v="53"/>
    <s v="Core"/>
    <n v="4"/>
    <s v="Faculty A"/>
    <s v="High Performance"/>
    <n v="0"/>
    <n v="0"/>
    <n v="0"/>
    <n v="9"/>
    <x v="1"/>
  </r>
  <r>
    <s v="STU089"/>
    <x v="6"/>
    <n v="34"/>
    <n v="31"/>
    <n v="55.882352941176471"/>
    <b v="1"/>
    <n v="96.9"/>
    <n v="77"/>
    <n v="52.5"/>
    <m/>
    <n v="75.466666666666669"/>
    <s v="B.E. CSE"/>
    <n v="3"/>
    <s v="Group B"/>
    <n v="11"/>
    <n v="7"/>
    <n v="30"/>
    <s v="Core"/>
    <n v="3"/>
    <s v="Faculty B"/>
    <s v="High Performance"/>
    <n v="1"/>
    <n v="0"/>
    <n v="1"/>
    <n v="7"/>
    <x v="1"/>
  </r>
  <r>
    <s v="STU089"/>
    <x v="2"/>
    <n v="25"/>
    <n v="19"/>
    <n v="64"/>
    <b v="1"/>
    <n v="90.9"/>
    <n v="83.9"/>
    <n v="67.599999999999994"/>
    <n v="64.099999999999994"/>
    <n v="76.625"/>
    <s v="B.E. CSE"/>
    <n v="3"/>
    <s v="Group B"/>
    <n v="19"/>
    <n v="9"/>
    <n v="56"/>
    <s v="Core"/>
    <n v="3"/>
    <s v="Faculty D"/>
    <s v="High Performance"/>
    <n v="1"/>
    <n v="0"/>
    <n v="0"/>
    <n v="9"/>
    <x v="1"/>
  </r>
  <r>
    <s v="STU089"/>
    <x v="7"/>
    <n v="26"/>
    <n v="16"/>
    <n v="61.53846153846154"/>
    <b v="1"/>
    <n v="93"/>
    <n v="77.2"/>
    <n v="88.4"/>
    <n v="85.9"/>
    <n v="86.125"/>
    <s v="B.E. CSE"/>
    <n v="3"/>
    <s v="Group B"/>
    <n v="11"/>
    <n v="7"/>
    <n v="32"/>
    <s v="Core"/>
    <n v="4"/>
    <s v="Faculty C"/>
    <s v="High Performance"/>
    <n v="1"/>
    <n v="0"/>
    <n v="0"/>
    <n v="7"/>
    <x v="1"/>
  </r>
  <r>
    <s v="STU090"/>
    <x v="2"/>
    <n v="24"/>
    <n v="16"/>
    <n v="75"/>
    <b v="1"/>
    <n v="94.5"/>
    <n v="97.1"/>
    <n v="71.3"/>
    <n v="100"/>
    <n v="90.724999999999994"/>
    <s v="B.E. ECE"/>
    <n v="5"/>
    <s v="Group A"/>
    <n v="21"/>
    <n v="7"/>
    <n v="57"/>
    <s v="Core"/>
    <n v="3"/>
    <s v="Faculty D"/>
    <s v="High Performance"/>
    <n v="0"/>
    <n v="0"/>
    <n v="0"/>
    <n v="7"/>
    <x v="1"/>
  </r>
  <r>
    <s v="STU090"/>
    <x v="3"/>
    <n v="40"/>
    <n v="18"/>
    <n v="87.5"/>
    <b v="1"/>
    <n v="100"/>
    <n v="97.6"/>
    <n v="70.3"/>
    <n v="85"/>
    <n v="88.224999999999994"/>
    <s v="B.E. ECE"/>
    <n v="5"/>
    <s v="Group A"/>
    <n v="27"/>
    <n v="13"/>
    <n v="72"/>
    <s v="Core"/>
    <n v="3"/>
    <s v="Faculty G"/>
    <s v="High Performance"/>
    <n v="0"/>
    <n v="0"/>
    <n v="0"/>
    <n v="13"/>
    <x v="1"/>
  </r>
  <r>
    <s v="STU090"/>
    <x v="7"/>
    <n v="36"/>
    <n v="35"/>
    <n v="94.444444444444443"/>
    <b v="1"/>
    <n v="100"/>
    <n v="93.6"/>
    <n v="100"/>
    <n v="100"/>
    <n v="98.4"/>
    <s v="B.E. ECE"/>
    <n v="5"/>
    <s v="Group A"/>
    <n v="20"/>
    <n v="9"/>
    <n v="58"/>
    <s v="Core"/>
    <n v="4"/>
    <s v="Faculty C"/>
    <s v="High Performance"/>
    <n v="0"/>
    <n v="0"/>
    <n v="0"/>
    <n v="9"/>
    <x v="1"/>
  </r>
  <r>
    <s v="STU090"/>
    <x v="4"/>
    <n v="40"/>
    <n v="34"/>
    <n v="82.5"/>
    <b v="1"/>
    <n v="92.1"/>
    <n v="87.4"/>
    <n v="81.900000000000006"/>
    <n v="87.8"/>
    <n v="87.3"/>
    <s v="B.E. ECE"/>
    <n v="5"/>
    <s v="Group A"/>
    <n v="20"/>
    <n v="14"/>
    <n v="68"/>
    <s v="Elective"/>
    <n v="3"/>
    <s v="Faculty F"/>
    <s v="High Performance"/>
    <n v="0"/>
    <n v="0"/>
    <n v="0"/>
    <n v="14"/>
    <x v="1"/>
  </r>
  <r>
    <s v="STU091"/>
    <x v="0"/>
    <n v="35"/>
    <n v="33"/>
    <n v="42.857142857142847"/>
    <b v="1"/>
    <n v="61.8"/>
    <n v="88.3"/>
    <n v="82.6"/>
    <n v="88.6"/>
    <n v="80.324999999999989"/>
    <s v="B.E. CSE"/>
    <n v="5"/>
    <s v="Group B"/>
    <n v="14"/>
    <n v="11"/>
    <n v="31"/>
    <s v="Core"/>
    <n v="4"/>
    <s v="Faculty A"/>
    <s v="High Performance"/>
    <n v="1"/>
    <n v="0"/>
    <n v="0"/>
    <n v="11"/>
    <x v="1"/>
  </r>
  <r>
    <s v="STU091"/>
    <x v="1"/>
    <n v="30"/>
    <n v="15"/>
    <n v="60"/>
    <b v="1"/>
    <n v="67.900000000000006"/>
    <n v="67.3"/>
    <n v="48.8"/>
    <n v="70.400000000000006"/>
    <n v="63.6"/>
    <s v="B.E. CSE"/>
    <n v="5"/>
    <s v="Group B"/>
    <n v="19"/>
    <n v="9"/>
    <n v="41"/>
    <s v="Practical"/>
    <n v="2"/>
    <s v="Faculty A"/>
    <s v="Good"/>
    <n v="1"/>
    <n v="0"/>
    <n v="0"/>
    <n v="9"/>
    <x v="1"/>
  </r>
  <r>
    <s v="STU091"/>
    <x v="2"/>
    <n v="24"/>
    <n v="18"/>
    <n v="79.166666666666657"/>
    <b v="1"/>
    <n v="50.6"/>
    <n v="54.7"/>
    <n v="56"/>
    <n v="68"/>
    <n v="57.325000000000003"/>
    <s v="B.E. CSE"/>
    <n v="5"/>
    <s v="Group B"/>
    <n v="25"/>
    <n v="8"/>
    <n v="70"/>
    <s v="Core"/>
    <n v="3"/>
    <s v="Faculty D"/>
    <s v="Developing"/>
    <n v="0"/>
    <n v="0"/>
    <n v="0"/>
    <n v="8"/>
    <x v="1"/>
  </r>
  <r>
    <s v="STU091"/>
    <x v="7"/>
    <n v="24"/>
    <n v="19"/>
    <n v="62.5"/>
    <b v="1"/>
    <n v="58.7"/>
    <n v="76.099999999999994"/>
    <n v="79.900000000000006"/>
    <n v="70.7"/>
    <n v="71.350000000000009"/>
    <s v="B.E. CSE"/>
    <n v="5"/>
    <s v="Group B"/>
    <n v="22"/>
    <n v="9"/>
    <n v="52"/>
    <s v="Core"/>
    <n v="4"/>
    <s v="Faculty C"/>
    <s v="Good"/>
    <n v="1"/>
    <n v="0"/>
    <n v="0"/>
    <n v="9"/>
    <x v="1"/>
  </r>
  <r>
    <s v="STU091"/>
    <x v="4"/>
    <n v="32"/>
    <n v="15"/>
    <n v="40.625"/>
    <b v="1"/>
    <n v="100"/>
    <n v="81"/>
    <n v="43.5"/>
    <n v="87.7"/>
    <n v="78.05"/>
    <s v="B.E. CSE"/>
    <n v="5"/>
    <s v="Group B"/>
    <m/>
    <n v="8"/>
    <m/>
    <s v="Elective"/>
    <n v="3"/>
    <s v="Faculty F"/>
    <s v="High Performance"/>
    <n v="1"/>
    <n v="1"/>
    <n v="0"/>
    <n v="8"/>
    <x v="1"/>
  </r>
  <r>
    <s v="STU092"/>
    <x v="6"/>
    <n v="25"/>
    <n v="13"/>
    <n v="28"/>
    <b v="1"/>
    <n v="59"/>
    <n v="74.3"/>
    <n v="32.6"/>
    <n v="78.5"/>
    <n v="61.1"/>
    <s v="B.Tech IT"/>
    <n v="5"/>
    <s v="Group A"/>
    <n v="19"/>
    <n v="11"/>
    <n v="54"/>
    <s v="Core"/>
    <n v="3"/>
    <s v="Faculty B"/>
    <s v="Good"/>
    <n v="1"/>
    <n v="0"/>
    <n v="0"/>
    <n v="11"/>
    <x v="1"/>
  </r>
  <r>
    <s v="STU092"/>
    <x v="2"/>
    <n v="39"/>
    <n v="7"/>
    <n v="74.358974358974365"/>
    <b v="1"/>
    <n v="62.8"/>
    <n v="51.6"/>
    <n v="29.2"/>
    <n v="51.2"/>
    <n v="48.7"/>
    <s v="B.Tech IT"/>
    <n v="5"/>
    <s v="Group A"/>
    <n v="18"/>
    <n v="7"/>
    <n v="56"/>
    <s v="Core"/>
    <n v="3"/>
    <s v="Faculty D"/>
    <s v="Developing"/>
    <n v="1"/>
    <n v="0"/>
    <n v="0"/>
    <n v="7"/>
    <x v="0"/>
  </r>
  <r>
    <s v="STU092"/>
    <x v="7"/>
    <n v="31"/>
    <n v="29"/>
    <n v="54.838709677419352"/>
    <b v="1"/>
    <n v="50.9"/>
    <n v="50.1"/>
    <n v="67.3"/>
    <n v="57"/>
    <n v="56.325000000000003"/>
    <s v="B.Tech IT"/>
    <n v="5"/>
    <s v="Group A"/>
    <n v="22"/>
    <n v="8"/>
    <n v="50"/>
    <s v="Core"/>
    <n v="4"/>
    <s v="Faculty C"/>
    <s v="Developing"/>
    <n v="1"/>
    <n v="0"/>
    <n v="0"/>
    <n v="8"/>
    <x v="0"/>
  </r>
  <r>
    <s v="STU092"/>
    <x v="4"/>
    <n v="34"/>
    <n v="17"/>
    <n v="41.17647058823529"/>
    <b v="1"/>
    <n v="54"/>
    <n v="71.8"/>
    <n v="72.7"/>
    <n v="59.3"/>
    <n v="64.45"/>
    <s v="B.Tech IT"/>
    <n v="5"/>
    <s v="Group A"/>
    <n v="8"/>
    <n v="12"/>
    <n v="38"/>
    <s v="Elective"/>
    <n v="3"/>
    <s v="Faculty F"/>
    <s v="Good"/>
    <n v="1"/>
    <n v="0"/>
    <n v="0"/>
    <n v="12"/>
    <x v="1"/>
  </r>
  <r>
    <s v="STU093"/>
    <x v="0"/>
    <n v="36"/>
    <n v="14"/>
    <n v="44.444444444444443"/>
    <b v="1"/>
    <n v="58.7"/>
    <n v="42.4"/>
    <n v="39"/>
    <n v="29.2"/>
    <n v="42.325000000000003"/>
    <s v="B.E. ECE"/>
    <n v="3"/>
    <s v="Group B"/>
    <n v="15"/>
    <n v="8"/>
    <n v="45"/>
    <s v="Core"/>
    <n v="4"/>
    <s v="Faculty A"/>
    <s v="Developing"/>
    <n v="1"/>
    <n v="0"/>
    <n v="0"/>
    <n v="8"/>
    <x v="0"/>
  </r>
  <r>
    <s v="STU093"/>
    <x v="6"/>
    <n v="38"/>
    <n v="16"/>
    <n v="65.789473684210535"/>
    <b v="1"/>
    <n v="45.4"/>
    <n v="59.5"/>
    <n v="31.4"/>
    <n v="50.9"/>
    <n v="46.8"/>
    <s v="B.E. ECE"/>
    <n v="3"/>
    <s v="Group B"/>
    <n v="16"/>
    <n v="7"/>
    <n v="45"/>
    <s v="Core"/>
    <n v="3"/>
    <s v="Faculty B"/>
    <s v="Developing"/>
    <n v="1"/>
    <n v="0"/>
    <n v="0"/>
    <n v="7"/>
    <x v="0"/>
  </r>
  <r>
    <s v="STU093"/>
    <x v="1"/>
    <n v="34"/>
    <n v="25"/>
    <n v="55.882352941176471"/>
    <b v="1"/>
    <n v="29.1"/>
    <n v="54.7"/>
    <n v="26"/>
    <n v="46.7"/>
    <n v="39.125"/>
    <s v="B.E. ECE"/>
    <n v="3"/>
    <s v="Group B"/>
    <n v="14"/>
    <n v="8"/>
    <n v="26"/>
    <s v="Practical"/>
    <n v="2"/>
    <s v="Faculty A"/>
    <s v="Needs Support"/>
    <n v="1"/>
    <n v="0"/>
    <n v="0"/>
    <n v="8"/>
    <x v="0"/>
  </r>
  <r>
    <s v="STU093"/>
    <x v="4"/>
    <n v="36"/>
    <n v="19"/>
    <n v="44.444444444444443"/>
    <b v="1"/>
    <n v="41.9"/>
    <n v="52.1"/>
    <n v="72.400000000000006"/>
    <n v="52.1"/>
    <n v="54.625"/>
    <s v="B.E. ECE"/>
    <n v="3"/>
    <s v="Group B"/>
    <n v="21"/>
    <n v="8"/>
    <n v="62"/>
    <s v="Elective"/>
    <n v="3"/>
    <s v="Faculty F"/>
    <s v="Developing"/>
    <n v="1"/>
    <n v="0"/>
    <n v="0"/>
    <n v="8"/>
    <x v="0"/>
  </r>
  <r>
    <s v="STU093"/>
    <x v="5"/>
    <n v="34"/>
    <n v="16"/>
    <n v="55.882352941176471"/>
    <b v="1"/>
    <n v="37.5"/>
    <n v="40.9"/>
    <n v="34.799999999999997"/>
    <n v="53.6"/>
    <n v="41.7"/>
    <s v="B.E. ECE"/>
    <n v="3"/>
    <s v="Group B"/>
    <n v="14"/>
    <n v="9"/>
    <n v="57"/>
    <s v="Foundation"/>
    <n v="4"/>
    <s v="Faculty E"/>
    <s v="Developing"/>
    <n v="1"/>
    <n v="0"/>
    <n v="0"/>
    <n v="9"/>
    <x v="0"/>
  </r>
  <r>
    <s v="STU094"/>
    <x v="0"/>
    <n v="25"/>
    <n v="19"/>
    <n v="88"/>
    <b v="1"/>
    <n v="82.6"/>
    <m/>
    <n v="70.8"/>
    <n v="99.2"/>
    <n v="84.199999999999989"/>
    <s v="B.E. CSE"/>
    <n v="6"/>
    <s v="Group C"/>
    <n v="19"/>
    <n v="9"/>
    <n v="60"/>
    <s v="Core"/>
    <n v="4"/>
    <s v="Faculty A"/>
    <s v="High Performance"/>
    <n v="0"/>
    <n v="0"/>
    <n v="1"/>
    <n v="9"/>
    <x v="1"/>
  </r>
  <r>
    <s v="STU094"/>
    <x v="7"/>
    <n v="30"/>
    <n v="22"/>
    <n v="70"/>
    <b v="1"/>
    <n v="67.900000000000006"/>
    <n v="76"/>
    <n v="62.7"/>
    <n v="92.2"/>
    <n v="74.7"/>
    <s v="B.E. CSE"/>
    <n v="6"/>
    <s v="Group C"/>
    <n v="22"/>
    <n v="12"/>
    <n v="62"/>
    <s v="Core"/>
    <n v="4"/>
    <s v="Faculty C"/>
    <s v="Good"/>
    <n v="1"/>
    <n v="0"/>
    <n v="0"/>
    <n v="12"/>
    <x v="1"/>
  </r>
  <r>
    <s v="STU094"/>
    <x v="4"/>
    <n v="29"/>
    <n v="21"/>
    <n v="65.517241379310349"/>
    <b v="1"/>
    <n v="88.6"/>
    <n v="100"/>
    <n v="85.2"/>
    <n v="93.3"/>
    <n v="91.775000000000006"/>
    <s v="B.E. CSE"/>
    <n v="6"/>
    <s v="Group C"/>
    <n v="18"/>
    <n v="8"/>
    <n v="58"/>
    <s v="Elective"/>
    <n v="3"/>
    <s v="Faculty F"/>
    <s v="High Performance"/>
    <n v="1"/>
    <n v="0"/>
    <n v="0"/>
    <n v="8"/>
    <x v="1"/>
  </r>
  <r>
    <s v="STU094"/>
    <x v="5"/>
    <n v="30"/>
    <n v="19"/>
    <n v="56.666666666666657"/>
    <b v="1"/>
    <n v="79.2"/>
    <n v="70.400000000000006"/>
    <n v="69.5"/>
    <n v="83.1"/>
    <n v="75.550000000000011"/>
    <s v="B.E. CSE"/>
    <n v="6"/>
    <s v="Group C"/>
    <n v="20"/>
    <n v="10"/>
    <n v="51"/>
    <s v="Foundation"/>
    <n v="4"/>
    <s v="Faculty E"/>
    <s v="High Performance"/>
    <n v="1"/>
    <n v="0"/>
    <n v="0"/>
    <n v="10"/>
    <x v="1"/>
  </r>
  <r>
    <s v="STU095"/>
    <x v="1"/>
    <n v="40"/>
    <n v="17"/>
    <n v="52.5"/>
    <b v="1"/>
    <n v="79.099999999999994"/>
    <n v="100"/>
    <n v="98.9"/>
    <n v="72.7"/>
    <n v="87.674999999999997"/>
    <s v="B.E. CSE"/>
    <n v="5"/>
    <s v="Group A"/>
    <n v="14"/>
    <n v="8"/>
    <n v="44"/>
    <s v="Practical"/>
    <n v="2"/>
    <s v="Faculty A"/>
    <s v="High Performance"/>
    <n v="1"/>
    <n v="0"/>
    <n v="0"/>
    <n v="8"/>
    <x v="1"/>
  </r>
  <r>
    <s v="STU095"/>
    <x v="7"/>
    <n v="39"/>
    <n v="21"/>
    <n v="74.358974358974365"/>
    <b v="1"/>
    <n v="58.9"/>
    <n v="76.7"/>
    <n v="56"/>
    <n v="54.7"/>
    <n v="61.575000000000003"/>
    <s v="B.E. CSE"/>
    <n v="5"/>
    <s v="Group A"/>
    <n v="19"/>
    <n v="6"/>
    <n v="69"/>
    <s v="Core"/>
    <n v="4"/>
    <s v="Faculty C"/>
    <s v="Good"/>
    <n v="1"/>
    <n v="0"/>
    <n v="0"/>
    <n v="6"/>
    <x v="1"/>
  </r>
  <r>
    <s v="STU095"/>
    <x v="4"/>
    <n v="29"/>
    <n v="29"/>
    <n v="44.827586206896562"/>
    <b v="1"/>
    <n v="90.7"/>
    <n v="69.099999999999994"/>
    <n v="69.7"/>
    <n v="66.900000000000006"/>
    <n v="74.099999999999994"/>
    <s v="B.E. CSE"/>
    <n v="5"/>
    <s v="Group A"/>
    <n v="25"/>
    <n v="9"/>
    <n v="65"/>
    <s v="Elective"/>
    <n v="3"/>
    <s v="Faculty F"/>
    <s v="Good"/>
    <n v="1"/>
    <n v="0"/>
    <n v="0"/>
    <n v="9"/>
    <x v="1"/>
  </r>
  <r>
    <s v="STU095"/>
    <x v="5"/>
    <n v="33"/>
    <n v="13"/>
    <n v="66.666666666666657"/>
    <b v="1"/>
    <n v="58.2"/>
    <n v="52.7"/>
    <n v="49.2"/>
    <n v="82.7"/>
    <n v="60.7"/>
    <s v="B.E. CSE"/>
    <n v="5"/>
    <s v="Group A"/>
    <n v="30"/>
    <n v="11"/>
    <n v="73"/>
    <s v="Foundation"/>
    <n v="4"/>
    <s v="Faculty E"/>
    <s v="Good"/>
    <n v="1"/>
    <n v="0"/>
    <n v="0"/>
    <n v="11"/>
    <x v="1"/>
  </r>
  <r>
    <s v="STU096"/>
    <x v="0"/>
    <n v="29"/>
    <n v="22"/>
    <n v="68.965517241379317"/>
    <b v="1"/>
    <n v="61.2"/>
    <n v="73.099999999999994"/>
    <n v="58.1"/>
    <n v="79.3"/>
    <n v="67.924999999999997"/>
    <s v="B.Tech IT"/>
    <n v="5"/>
    <s v="Group B"/>
    <n v="10"/>
    <n v="8"/>
    <n v="56"/>
    <s v="Core"/>
    <n v="4"/>
    <s v="Faculty A"/>
    <s v="Good"/>
    <n v="1"/>
    <n v="0"/>
    <n v="0"/>
    <n v="8"/>
    <x v="1"/>
  </r>
  <r>
    <s v="STU096"/>
    <x v="2"/>
    <n v="37"/>
    <n v="20"/>
    <n v="48.648648648648653"/>
    <b v="1"/>
    <n v="58.6"/>
    <n v="68.7"/>
    <n v="52.5"/>
    <n v="59.8"/>
    <n v="59.900000000000013"/>
    <s v="B.Tech IT"/>
    <n v="5"/>
    <s v="Group B"/>
    <n v="10"/>
    <n v="5"/>
    <n v="36"/>
    <s v="Core"/>
    <n v="3"/>
    <s v="Faculty D"/>
    <s v="Developing"/>
    <n v="1"/>
    <n v="0"/>
    <n v="0"/>
    <n v="5"/>
    <x v="0"/>
  </r>
  <r>
    <s v="STU096"/>
    <x v="3"/>
    <n v="34"/>
    <n v="18"/>
    <n v="44.117647058823529"/>
    <b v="1"/>
    <n v="54.5"/>
    <n v="50.9"/>
    <n v="62.5"/>
    <n v="72.900000000000006"/>
    <n v="60.2"/>
    <s v="B.Tech IT"/>
    <n v="5"/>
    <s v="Group B"/>
    <n v="13"/>
    <n v="8"/>
    <n v="48"/>
    <s v="Core"/>
    <n v="3"/>
    <s v="Faculty G"/>
    <s v="Good"/>
    <n v="1"/>
    <n v="0"/>
    <n v="0"/>
    <n v="8"/>
    <x v="1"/>
  </r>
  <r>
    <s v="STU096"/>
    <x v="7"/>
    <n v="38"/>
    <n v="15"/>
    <n v="52.631578947368418"/>
    <b v="1"/>
    <n v="80.8"/>
    <m/>
    <n v="81.2"/>
    <n v="59.4"/>
    <n v="73.8"/>
    <s v="B.Tech IT"/>
    <n v="5"/>
    <s v="Group B"/>
    <n v="23"/>
    <n v="10"/>
    <n v="70"/>
    <s v="Core"/>
    <n v="4"/>
    <s v="Faculty C"/>
    <s v="Good"/>
    <n v="1"/>
    <n v="0"/>
    <n v="1"/>
    <n v="10"/>
    <x v="1"/>
  </r>
  <r>
    <s v="STU096"/>
    <x v="5"/>
    <n v="31"/>
    <n v="20"/>
    <n v="61.29032258064516"/>
    <b v="1"/>
    <n v="52.2"/>
    <n v="70.8"/>
    <n v="69.900000000000006"/>
    <n v="74.7"/>
    <n v="66.900000000000006"/>
    <s v="B.Tech IT"/>
    <n v="5"/>
    <s v="Group B"/>
    <n v="20"/>
    <n v="12"/>
    <n v="64"/>
    <s v="Foundation"/>
    <n v="4"/>
    <s v="Faculty E"/>
    <s v="Good"/>
    <n v="1"/>
    <n v="0"/>
    <n v="0"/>
    <n v="12"/>
    <x v="1"/>
  </r>
  <r>
    <s v="STU097"/>
    <x v="0"/>
    <n v="24"/>
    <n v="19"/>
    <n v="66.666666666666657"/>
    <b v="1"/>
    <n v="67.3"/>
    <n v="71.7"/>
    <n v="45.6"/>
    <n v="67.400000000000006"/>
    <n v="63"/>
    <s v="B.E. CSE"/>
    <n v="3"/>
    <s v="Group A"/>
    <n v="10"/>
    <n v="4"/>
    <n v="45"/>
    <s v="Core"/>
    <n v="4"/>
    <s v="Faculty A"/>
    <s v="Good"/>
    <n v="1"/>
    <n v="0"/>
    <n v="0"/>
    <n v="4"/>
    <x v="1"/>
  </r>
  <r>
    <s v="STU097"/>
    <x v="6"/>
    <n v="37"/>
    <n v="16"/>
    <n v="51.351351351351347"/>
    <b v="1"/>
    <n v="74.5"/>
    <n v="60"/>
    <n v="67.5"/>
    <n v="62.3"/>
    <n v="66.075000000000003"/>
    <s v="B.E. CSE"/>
    <n v="3"/>
    <s v="Group A"/>
    <n v="7"/>
    <n v="9"/>
    <n v="28"/>
    <s v="Core"/>
    <n v="3"/>
    <s v="Faculty B"/>
    <s v="Good"/>
    <n v="1"/>
    <n v="0"/>
    <n v="0"/>
    <n v="9"/>
    <x v="1"/>
  </r>
  <r>
    <s v="STU097"/>
    <x v="1"/>
    <n v="40"/>
    <n v="19"/>
    <n v="57.499999999999993"/>
    <b v="1"/>
    <n v="84.5"/>
    <n v="83.8"/>
    <n v="73"/>
    <n v="59.7"/>
    <n v="75.25"/>
    <s v="B.E. CSE"/>
    <n v="3"/>
    <s v="Group A"/>
    <n v="19"/>
    <n v="6"/>
    <n v="41"/>
    <s v="Practical"/>
    <n v="2"/>
    <s v="Faculty A"/>
    <s v="High Performance"/>
    <n v="1"/>
    <n v="0"/>
    <n v="0"/>
    <n v="6"/>
    <x v="1"/>
  </r>
  <r>
    <s v="STU097"/>
    <x v="7"/>
    <n v="31"/>
    <n v="23"/>
    <n v="51.612903225806448"/>
    <b v="1"/>
    <n v="70.7"/>
    <n v="76.400000000000006"/>
    <n v="60.8"/>
    <n v="97"/>
    <n v="76.225000000000009"/>
    <s v="B.E. CSE"/>
    <n v="3"/>
    <s v="Group A"/>
    <n v="21"/>
    <n v="9"/>
    <n v="50"/>
    <s v="Core"/>
    <n v="4"/>
    <s v="Faculty C"/>
    <s v="High Performance"/>
    <n v="1"/>
    <n v="0"/>
    <n v="0"/>
    <n v="9"/>
    <x v="1"/>
  </r>
  <r>
    <s v="STU097"/>
    <x v="4"/>
    <n v="26"/>
    <n v="16"/>
    <n v="84.615384615384613"/>
    <b v="1"/>
    <n v="53.8"/>
    <n v="44.3"/>
    <n v="59.9"/>
    <n v="58.9"/>
    <n v="54.225000000000001"/>
    <s v="B.E. CSE"/>
    <n v="3"/>
    <s v="Group A"/>
    <n v="21"/>
    <n v="6"/>
    <n v="51"/>
    <s v="Elective"/>
    <n v="3"/>
    <s v="Faculty F"/>
    <s v="Developing"/>
    <n v="0"/>
    <n v="0"/>
    <n v="0"/>
    <n v="6"/>
    <x v="1"/>
  </r>
  <r>
    <s v="STU098"/>
    <x v="0"/>
    <n v="30"/>
    <n v="22"/>
    <n v="70"/>
    <b v="1"/>
    <n v="75.5"/>
    <n v="88.9"/>
    <n v="91"/>
    <n v="94.9"/>
    <n v="87.575000000000003"/>
    <s v="B.E. CSE"/>
    <n v="3"/>
    <s v="Group B"/>
    <n v="15"/>
    <n v="8"/>
    <n v="56"/>
    <s v="Core"/>
    <n v="4"/>
    <s v="Faculty A"/>
    <s v="High Performance"/>
    <n v="1"/>
    <n v="0"/>
    <n v="0"/>
    <n v="8"/>
    <x v="1"/>
  </r>
  <r>
    <s v="STU098"/>
    <x v="6"/>
    <n v="34"/>
    <n v="21"/>
    <n v="64.705882352941174"/>
    <b v="1"/>
    <n v="89.8"/>
    <n v="89.5"/>
    <n v="93.5"/>
    <n v="66.5"/>
    <n v="84.825000000000003"/>
    <s v="B.E. CSE"/>
    <n v="3"/>
    <s v="Group B"/>
    <n v="20"/>
    <n v="11"/>
    <n v="42"/>
    <s v="Core"/>
    <n v="3"/>
    <s v="Faculty B"/>
    <s v="High Performance"/>
    <n v="1"/>
    <n v="0"/>
    <n v="0"/>
    <n v="11"/>
    <x v="1"/>
  </r>
  <r>
    <s v="STU098"/>
    <x v="1"/>
    <n v="26"/>
    <n v="22"/>
    <n v="88.461538461538453"/>
    <b v="1"/>
    <n v="87.7"/>
    <n v="88"/>
    <n v="100"/>
    <n v="99.5"/>
    <n v="93.8"/>
    <s v="B.E. CSE"/>
    <n v="3"/>
    <s v="Group B"/>
    <n v="15"/>
    <n v="7"/>
    <n v="51"/>
    <s v="Practical"/>
    <n v="2"/>
    <s v="Faculty A"/>
    <s v="High Performance"/>
    <n v="0"/>
    <n v="0"/>
    <n v="0"/>
    <n v="7"/>
    <x v="1"/>
  </r>
  <r>
    <s v="STU098"/>
    <x v="3"/>
    <n v="33"/>
    <n v="23"/>
    <n v="72.727272727272734"/>
    <b v="1"/>
    <n v="98.7"/>
    <n v="79.900000000000006"/>
    <n v="94.6"/>
    <n v="100"/>
    <n v="93.3"/>
    <s v="B.E. CSE"/>
    <n v="3"/>
    <s v="Group B"/>
    <n v="21"/>
    <n v="12"/>
    <n v="59"/>
    <s v="Core"/>
    <n v="3"/>
    <s v="Faculty G"/>
    <s v="High Performance"/>
    <n v="1"/>
    <n v="0"/>
    <n v="0"/>
    <n v="12"/>
    <x v="1"/>
  </r>
  <r>
    <s v="STU098"/>
    <x v="7"/>
    <n v="36"/>
    <n v="24"/>
    <n v="58.333333333333343"/>
    <b v="1"/>
    <n v="96.7"/>
    <n v="100"/>
    <n v="63.8"/>
    <n v="88.9"/>
    <n v="87.35"/>
    <s v="B.E. CSE"/>
    <n v="3"/>
    <s v="Group B"/>
    <n v="21"/>
    <n v="10"/>
    <n v="61"/>
    <s v="Core"/>
    <n v="4"/>
    <s v="Faculty C"/>
    <s v="High Performance"/>
    <n v="1"/>
    <n v="0"/>
    <n v="0"/>
    <n v="10"/>
    <x v="1"/>
  </r>
  <r>
    <s v="STU099"/>
    <x v="0"/>
    <n v="31"/>
    <n v="21"/>
    <n v="64.516129032258064"/>
    <b v="1"/>
    <n v="85.5"/>
    <n v="84.6"/>
    <n v="73.599999999999994"/>
    <n v="77.900000000000006"/>
    <n v="80.400000000000006"/>
    <s v="B.E. CSE"/>
    <n v="6"/>
    <s v="Group A"/>
    <n v="18"/>
    <n v="11"/>
    <n v="52"/>
    <s v="Core"/>
    <n v="4"/>
    <s v="Faculty A"/>
    <s v="High Performance"/>
    <n v="1"/>
    <n v="0"/>
    <n v="0"/>
    <n v="11"/>
    <x v="1"/>
  </r>
  <r>
    <s v="STU099"/>
    <x v="6"/>
    <n v="40"/>
    <n v="20"/>
    <n v="70"/>
    <b v="1"/>
    <n v="52.3"/>
    <n v="90.4"/>
    <n v="67.099999999999994"/>
    <n v="87.1"/>
    <n v="74.224999999999994"/>
    <s v="B.E. CSE"/>
    <n v="6"/>
    <s v="Group A"/>
    <n v="12"/>
    <n v="9"/>
    <n v="44"/>
    <s v="Core"/>
    <n v="3"/>
    <s v="Faculty B"/>
    <s v="Good"/>
    <n v="1"/>
    <n v="0"/>
    <n v="0"/>
    <n v="9"/>
    <x v="1"/>
  </r>
  <r>
    <s v="STU099"/>
    <x v="1"/>
    <n v="27"/>
    <n v="28"/>
    <n v="59.259259259259252"/>
    <b v="1"/>
    <n v="59.7"/>
    <n v="84"/>
    <n v="41"/>
    <n v="55.4"/>
    <n v="60.024999999999999"/>
    <s v="B.E. CSE"/>
    <n v="6"/>
    <s v="Group A"/>
    <n v="13"/>
    <n v="9"/>
    <n v="49"/>
    <s v="Practical"/>
    <n v="2"/>
    <s v="Faculty A"/>
    <s v="Good"/>
    <n v="1"/>
    <n v="0"/>
    <n v="0"/>
    <n v="9"/>
    <x v="1"/>
  </r>
  <r>
    <s v="STU099"/>
    <x v="3"/>
    <n v="35"/>
    <n v="16"/>
    <n v="60"/>
    <b v="1"/>
    <n v="60.9"/>
    <n v="73.3"/>
    <n v="91.9"/>
    <n v="71"/>
    <n v="74.275000000000006"/>
    <s v="B.E. CSE"/>
    <n v="6"/>
    <s v="Group A"/>
    <n v="19"/>
    <n v="13"/>
    <n v="49"/>
    <s v="Core"/>
    <n v="3"/>
    <s v="Faculty G"/>
    <s v="Good"/>
    <n v="1"/>
    <n v="0"/>
    <n v="0"/>
    <n v="13"/>
    <x v="1"/>
  </r>
  <r>
    <s v="STU099"/>
    <x v="7"/>
    <n v="39"/>
    <n v="21"/>
    <n v="64.102564102564102"/>
    <b v="1"/>
    <n v="68.3"/>
    <n v="79.7"/>
    <n v="51.2"/>
    <n v="71.7"/>
    <n v="67.724999999999994"/>
    <s v="B.E. CSE"/>
    <n v="6"/>
    <s v="Group A"/>
    <n v="22"/>
    <n v="5"/>
    <n v="59"/>
    <s v="Core"/>
    <n v="4"/>
    <s v="Faculty C"/>
    <s v="Good"/>
    <n v="1"/>
    <n v="0"/>
    <n v="0"/>
    <n v="5"/>
    <x v="1"/>
  </r>
  <r>
    <s v="STU099"/>
    <x v="5"/>
    <n v="38"/>
    <n v="25"/>
    <n v="60.526315789473678"/>
    <b v="1"/>
    <n v="78.3"/>
    <n v="83.6"/>
    <n v="55"/>
    <n v="67.3"/>
    <n v="71.05"/>
    <s v="B.E. CSE"/>
    <n v="6"/>
    <s v="Group A"/>
    <n v="19"/>
    <n v="12"/>
    <n v="65"/>
    <s v="Foundation"/>
    <n v="4"/>
    <s v="Faculty E"/>
    <s v="Good"/>
    <n v="1"/>
    <n v="0"/>
    <n v="0"/>
    <n v="12"/>
    <x v="1"/>
  </r>
  <r>
    <s v="STU100"/>
    <x v="0"/>
    <n v="25"/>
    <n v="23"/>
    <n v="68"/>
    <b v="1"/>
    <n v="82.1"/>
    <n v="77.8"/>
    <n v="87.6"/>
    <n v="74"/>
    <n v="80.375"/>
    <s v="B.E. EEE"/>
    <n v="4"/>
    <s v="Group C"/>
    <n v="11"/>
    <n v="10"/>
    <n v="51"/>
    <s v="Core"/>
    <n v="4"/>
    <s v="Faculty A"/>
    <s v="High Performance"/>
    <n v="1"/>
    <n v="0"/>
    <n v="0"/>
    <n v="10"/>
    <x v="1"/>
  </r>
  <r>
    <s v="STU100"/>
    <x v="6"/>
    <n v="34"/>
    <n v="17"/>
    <n v="73.529411764705884"/>
    <b v="1"/>
    <n v="86.8"/>
    <n v="70.2"/>
    <n v="63.1"/>
    <n v="76.3"/>
    <n v="74.099999999999994"/>
    <s v="B.E. EEE"/>
    <n v="4"/>
    <s v="Group C"/>
    <n v="19"/>
    <n v="10"/>
    <n v="59"/>
    <s v="Core"/>
    <n v="3"/>
    <s v="Faculty B"/>
    <s v="Good"/>
    <n v="1"/>
    <n v="0"/>
    <n v="0"/>
    <n v="10"/>
    <x v="1"/>
  </r>
  <r>
    <s v="STU100"/>
    <x v="2"/>
    <n v="34"/>
    <n v="25"/>
    <n v="52.941176470588239"/>
    <b v="1"/>
    <n v="78.7"/>
    <n v="91.3"/>
    <n v="68.400000000000006"/>
    <n v="80"/>
    <n v="79.599999999999994"/>
    <s v="B.E. EEE"/>
    <n v="4"/>
    <s v="Group C"/>
    <n v="18"/>
    <n v="12"/>
    <n v="73"/>
    <s v="Core"/>
    <n v="3"/>
    <s v="Faculty D"/>
    <s v="High Performance"/>
    <n v="1"/>
    <n v="0"/>
    <n v="0"/>
    <n v="12"/>
    <x v="1"/>
  </r>
  <r>
    <s v="STU100"/>
    <x v="3"/>
    <n v="31"/>
    <n v="18"/>
    <n v="61.29032258064516"/>
    <b v="1"/>
    <n v="100"/>
    <n v="73.2"/>
    <n v="91.2"/>
    <n v="100"/>
    <n v="91.1"/>
    <s v="B.E. EEE"/>
    <n v="4"/>
    <s v="Group C"/>
    <n v="17"/>
    <n v="7"/>
    <n v="59"/>
    <s v="Core"/>
    <n v="3"/>
    <s v="Faculty G"/>
    <s v="High Performance"/>
    <n v="1"/>
    <n v="0"/>
    <n v="0"/>
    <n v="7"/>
    <x v="1"/>
  </r>
  <r>
    <s v="STU100"/>
    <x v="4"/>
    <n v="33"/>
    <n v="19"/>
    <n v="66.666666666666657"/>
    <b v="1"/>
    <n v="96.8"/>
    <n v="70.400000000000006"/>
    <n v="63.5"/>
    <n v="87.8"/>
    <n v="79.625"/>
    <s v="B.E. EEE"/>
    <n v="4"/>
    <s v="Group C"/>
    <n v="10"/>
    <n v="12"/>
    <n v="44"/>
    <s v="Elective"/>
    <n v="3"/>
    <s v="Faculty F"/>
    <s v="High Performance"/>
    <n v="1"/>
    <n v="0"/>
    <n v="0"/>
    <n v="12"/>
    <x v="1"/>
  </r>
  <r>
    <s v="STU101"/>
    <x v="0"/>
    <n v="39"/>
    <n v="22"/>
    <n v="74.358974358974365"/>
    <b v="1"/>
    <n v="98.4"/>
    <n v="89.4"/>
    <n v="91.7"/>
    <m/>
    <n v="93.166666666666686"/>
    <s v="B.E. EEE"/>
    <n v="4"/>
    <s v="Group A"/>
    <n v="17"/>
    <n v="10"/>
    <n v="47"/>
    <s v="Core"/>
    <n v="4"/>
    <s v="Faculty A"/>
    <s v="High Performance"/>
    <n v="1"/>
    <n v="0"/>
    <n v="1"/>
    <n v="10"/>
    <x v="1"/>
  </r>
  <r>
    <s v="STU101"/>
    <x v="6"/>
    <n v="38"/>
    <n v="29"/>
    <n v="78.94736842105263"/>
    <b v="1"/>
    <n v="71.2"/>
    <n v="89.4"/>
    <n v="86.6"/>
    <n v="78.5"/>
    <n v="81.425000000000011"/>
    <s v="B.E. EEE"/>
    <n v="4"/>
    <s v="Group A"/>
    <n v="17"/>
    <n v="5"/>
    <n v="41"/>
    <s v="Core"/>
    <n v="3"/>
    <s v="Faculty B"/>
    <s v="High Performance"/>
    <n v="0"/>
    <n v="0"/>
    <n v="0"/>
    <n v="5"/>
    <x v="1"/>
  </r>
  <r>
    <s v="STU101"/>
    <x v="2"/>
    <n v="34"/>
    <n v="30"/>
    <n v="58.82352941176471"/>
    <b v="1"/>
    <n v="65.7"/>
    <n v="76.900000000000006"/>
    <n v="57.9"/>
    <m/>
    <n v="66.833333333333343"/>
    <s v="B.E. EEE"/>
    <n v="4"/>
    <s v="Group A"/>
    <n v="20"/>
    <n v="10"/>
    <n v="56"/>
    <s v="Core"/>
    <n v="3"/>
    <s v="Faculty D"/>
    <s v="Good"/>
    <n v="1"/>
    <n v="0"/>
    <n v="1"/>
    <n v="10"/>
    <x v="1"/>
  </r>
  <r>
    <s v="STU101"/>
    <x v="3"/>
    <n v="25"/>
    <n v="20"/>
    <n v="56.000000000000007"/>
    <b v="1"/>
    <n v="79.900000000000006"/>
    <n v="86.1"/>
    <n v="56.5"/>
    <n v="85.3"/>
    <n v="76.95"/>
    <s v="B.E. EEE"/>
    <n v="4"/>
    <s v="Group A"/>
    <n v="15"/>
    <n v="9"/>
    <n v="60"/>
    <s v="Core"/>
    <n v="3"/>
    <s v="Faculty G"/>
    <s v="High Performance"/>
    <n v="1"/>
    <n v="0"/>
    <n v="0"/>
    <n v="9"/>
    <x v="1"/>
  </r>
  <r>
    <s v="STU101"/>
    <x v="7"/>
    <n v="24"/>
    <n v="14"/>
    <n v="79.166666666666657"/>
    <b v="1"/>
    <n v="100"/>
    <n v="78.599999999999994"/>
    <n v="64.900000000000006"/>
    <n v="81.2"/>
    <n v="81.174999999999997"/>
    <s v="B.E. EEE"/>
    <n v="4"/>
    <s v="Group A"/>
    <n v="18"/>
    <n v="5"/>
    <n v="51"/>
    <s v="Core"/>
    <n v="4"/>
    <s v="Faculty C"/>
    <s v="High Performance"/>
    <n v="0"/>
    <n v="0"/>
    <n v="0"/>
    <n v="5"/>
    <x v="1"/>
  </r>
  <r>
    <s v="STU102"/>
    <x v="0"/>
    <n v="25"/>
    <n v="19"/>
    <n v="48"/>
    <b v="1"/>
    <n v="57.7"/>
    <n v="68.099999999999994"/>
    <n v="42.5"/>
    <n v="33.299999999999997"/>
    <n v="50.400000000000013"/>
    <s v="B.Tech IT"/>
    <n v="4"/>
    <s v="Group C"/>
    <n v="11"/>
    <n v="9"/>
    <n v="52"/>
    <s v="Core"/>
    <n v="4"/>
    <s v="Faculty A"/>
    <s v="Developing"/>
    <n v="1"/>
    <n v="0"/>
    <n v="0"/>
    <n v="9"/>
    <x v="0"/>
  </r>
  <r>
    <s v="STU102"/>
    <x v="6"/>
    <n v="30"/>
    <n v="12"/>
    <n v="53.333333333333343"/>
    <b v="1"/>
    <n v="48.7"/>
    <n v="45.9"/>
    <n v="41.7"/>
    <n v="51.6"/>
    <n v="46.975000000000001"/>
    <s v="B.Tech IT"/>
    <n v="4"/>
    <s v="Group C"/>
    <n v="10"/>
    <n v="6"/>
    <n v="18"/>
    <s v="Core"/>
    <n v="3"/>
    <s v="Faculty B"/>
    <s v="Developing"/>
    <n v="1"/>
    <n v="0"/>
    <n v="0"/>
    <n v="6"/>
    <x v="0"/>
  </r>
  <r>
    <s v="STU102"/>
    <x v="2"/>
    <n v="30"/>
    <n v="16"/>
    <n v="60"/>
    <b v="1"/>
    <n v="48.6"/>
    <n v="43.4"/>
    <n v="45.8"/>
    <n v="41.2"/>
    <n v="44.75"/>
    <s v="B.Tech IT"/>
    <n v="4"/>
    <s v="Group C"/>
    <n v="15"/>
    <n v="8"/>
    <n v="49"/>
    <s v="Core"/>
    <n v="3"/>
    <s v="Faculty D"/>
    <s v="Developing"/>
    <n v="1"/>
    <n v="0"/>
    <n v="0"/>
    <n v="8"/>
    <x v="0"/>
  </r>
  <r>
    <s v="STU102"/>
    <x v="3"/>
    <n v="25"/>
    <n v="18"/>
    <n v="40"/>
    <b v="1"/>
    <n v="46.7"/>
    <n v="58"/>
    <n v="37.5"/>
    <n v="37.299999999999997"/>
    <n v="44.875"/>
    <s v="B.Tech IT"/>
    <n v="4"/>
    <s v="Group C"/>
    <n v="17"/>
    <n v="10"/>
    <n v="50"/>
    <s v="Core"/>
    <n v="3"/>
    <s v="Faculty G"/>
    <s v="Developing"/>
    <n v="1"/>
    <n v="0"/>
    <n v="0"/>
    <n v="10"/>
    <x v="0"/>
  </r>
  <r>
    <s v="STU102"/>
    <x v="7"/>
    <n v="35"/>
    <n v="10"/>
    <n v="40"/>
    <b v="1"/>
    <n v="50.1"/>
    <n v="56.7"/>
    <n v="26.8"/>
    <n v="52"/>
    <n v="46.400000000000013"/>
    <s v="B.Tech IT"/>
    <n v="4"/>
    <s v="Group C"/>
    <n v="23"/>
    <n v="11"/>
    <n v="70"/>
    <s v="Core"/>
    <n v="4"/>
    <s v="Faculty C"/>
    <s v="Developing"/>
    <n v="1"/>
    <n v="0"/>
    <n v="0"/>
    <n v="11"/>
    <x v="0"/>
  </r>
  <r>
    <s v="STU102"/>
    <x v="4"/>
    <n v="27"/>
    <n v="14"/>
    <n v="62.962962962962962"/>
    <b v="1"/>
    <n v="38.5"/>
    <n v="61.7"/>
    <n v="43.9"/>
    <n v="42.5"/>
    <n v="46.65"/>
    <s v="B.Tech IT"/>
    <n v="4"/>
    <s v="Group C"/>
    <n v="19"/>
    <n v="8"/>
    <n v="52"/>
    <s v="Elective"/>
    <n v="3"/>
    <s v="Faculty F"/>
    <s v="Developing"/>
    <n v="1"/>
    <n v="0"/>
    <n v="0"/>
    <n v="8"/>
    <x v="0"/>
  </r>
  <r>
    <s v="STU103"/>
    <x v="1"/>
    <n v="32"/>
    <n v="17"/>
    <n v="81.25"/>
    <b v="1"/>
    <n v="78"/>
    <n v="77.599999999999994"/>
    <n v="53.8"/>
    <n v="78.5"/>
    <n v="71.974999999999994"/>
    <s v="B.E. CSE"/>
    <n v="5"/>
    <s v="Group C"/>
    <n v="20"/>
    <n v="10"/>
    <n v="60"/>
    <s v="Practical"/>
    <n v="2"/>
    <s v="Faculty A"/>
    <s v="Good"/>
    <n v="0"/>
    <n v="0"/>
    <n v="0"/>
    <n v="10"/>
    <x v="1"/>
  </r>
  <r>
    <s v="STU103"/>
    <x v="3"/>
    <n v="38"/>
    <n v="26"/>
    <n v="68.421052631578945"/>
    <b v="1"/>
    <n v="79.7"/>
    <n v="84.6"/>
    <n v="77.400000000000006"/>
    <n v="80.2"/>
    <n v="80.475000000000009"/>
    <s v="B.E. CSE"/>
    <n v="5"/>
    <s v="Group C"/>
    <n v="15"/>
    <n v="10"/>
    <n v="44"/>
    <s v="Core"/>
    <n v="3"/>
    <s v="Faculty G"/>
    <s v="High Performance"/>
    <n v="1"/>
    <n v="0"/>
    <n v="0"/>
    <n v="10"/>
    <x v="1"/>
  </r>
  <r>
    <s v="STU103"/>
    <x v="4"/>
    <n v="32"/>
    <n v="26"/>
    <n v="84.375"/>
    <b v="1"/>
    <n v="58.4"/>
    <n v="71.599999999999994"/>
    <n v="55.1"/>
    <n v="79"/>
    <n v="66.025000000000006"/>
    <s v="B.E. CSE"/>
    <n v="5"/>
    <s v="Group C"/>
    <n v="19"/>
    <n v="7"/>
    <n v="55"/>
    <s v="Elective"/>
    <n v="3"/>
    <s v="Faculty F"/>
    <s v="Good"/>
    <n v="0"/>
    <n v="0"/>
    <n v="0"/>
    <n v="7"/>
    <x v="1"/>
  </r>
  <r>
    <s v="STU103"/>
    <x v="5"/>
    <n v="40"/>
    <n v="27"/>
    <n v="77.5"/>
    <b v="1"/>
    <n v="58.6"/>
    <n v="86.3"/>
    <n v="75.599999999999994"/>
    <n v="70.3"/>
    <n v="72.7"/>
    <s v="B.E. CSE"/>
    <n v="5"/>
    <s v="Group C"/>
    <n v="19"/>
    <n v="9"/>
    <n v="54"/>
    <s v="Foundation"/>
    <n v="4"/>
    <s v="Faculty E"/>
    <s v="Good"/>
    <n v="0"/>
    <n v="0"/>
    <n v="0"/>
    <n v="9"/>
    <x v="1"/>
  </r>
  <r>
    <s v="STU104"/>
    <x v="6"/>
    <n v="40"/>
    <n v="31"/>
    <n v="72.5"/>
    <b v="1"/>
    <n v="66.3"/>
    <n v="53.9"/>
    <n v="61.8"/>
    <n v="75.5"/>
    <n v="64.375"/>
    <s v="B.E. EEE"/>
    <n v="6"/>
    <s v="Group B"/>
    <n v="20"/>
    <n v="10"/>
    <n v="58"/>
    <s v="Core"/>
    <n v="3"/>
    <s v="Faculty B"/>
    <s v="Good"/>
    <n v="1"/>
    <n v="0"/>
    <n v="0"/>
    <n v="10"/>
    <x v="1"/>
  </r>
  <r>
    <s v="STU104"/>
    <x v="1"/>
    <n v="30"/>
    <n v="29"/>
    <n v="80"/>
    <b v="1"/>
    <n v="43"/>
    <n v="57.7"/>
    <n v="36.9"/>
    <n v="68.599999999999994"/>
    <n v="51.55"/>
    <s v="B.E. EEE"/>
    <n v="6"/>
    <s v="Group B"/>
    <n v="21"/>
    <n v="6"/>
    <n v="65"/>
    <s v="Practical"/>
    <n v="2"/>
    <s v="Faculty A"/>
    <s v="Developing"/>
    <n v="0"/>
    <n v="0"/>
    <n v="0"/>
    <n v="6"/>
    <x v="1"/>
  </r>
  <r>
    <s v="STU104"/>
    <x v="2"/>
    <n v="24"/>
    <n v="24"/>
    <n v="66.666666666666657"/>
    <b v="1"/>
    <n v="64.7"/>
    <n v="75.900000000000006"/>
    <n v="62.5"/>
    <n v="71.7"/>
    <n v="68.7"/>
    <s v="B.E. EEE"/>
    <n v="6"/>
    <s v="Group B"/>
    <n v="16"/>
    <n v="5"/>
    <n v="55"/>
    <s v="Core"/>
    <n v="3"/>
    <s v="Faculty D"/>
    <s v="Good"/>
    <n v="1"/>
    <n v="0"/>
    <n v="0"/>
    <n v="5"/>
    <x v="1"/>
  </r>
  <r>
    <s v="STU104"/>
    <x v="4"/>
    <n v="24"/>
    <n v="16"/>
    <n v="83.333333333333343"/>
    <b v="1"/>
    <n v="20.5"/>
    <n v="84.9"/>
    <n v="98"/>
    <n v="62.2"/>
    <n v="66.400000000000006"/>
    <s v="B.E. EEE"/>
    <n v="6"/>
    <s v="Group B"/>
    <n v="27"/>
    <n v="4"/>
    <n v="77"/>
    <s v="Elective"/>
    <n v="3"/>
    <s v="Faculty F"/>
    <s v="Good"/>
    <n v="0"/>
    <n v="0"/>
    <n v="0"/>
    <n v="4"/>
    <x v="1"/>
  </r>
  <r>
    <s v="STU105"/>
    <x v="6"/>
    <n v="38"/>
    <n v="20"/>
    <n v="55.26315789473685"/>
    <b v="1"/>
    <n v="63.8"/>
    <n v="65.5"/>
    <n v="56.9"/>
    <m/>
    <n v="62.06666666666667"/>
    <s v="B.Tech IT"/>
    <n v="4"/>
    <s v="Group B"/>
    <n v="8"/>
    <n v="9"/>
    <n v="36"/>
    <s v="Core"/>
    <n v="3"/>
    <s v="Faculty B"/>
    <s v="Good"/>
    <n v="1"/>
    <n v="0"/>
    <n v="1"/>
    <n v="9"/>
    <x v="1"/>
  </r>
  <r>
    <s v="STU105"/>
    <x v="1"/>
    <n v="31"/>
    <n v="21"/>
    <n v="54.838709677419352"/>
    <b v="1"/>
    <n v="72.400000000000006"/>
    <n v="73.3"/>
    <n v="75.900000000000006"/>
    <n v="73.900000000000006"/>
    <n v="73.875"/>
    <s v="B.Tech IT"/>
    <n v="4"/>
    <s v="Group B"/>
    <n v="33"/>
    <n v="9"/>
    <n v="81"/>
    <s v="Practical"/>
    <n v="2"/>
    <s v="Faculty A"/>
    <s v="Good"/>
    <n v="1"/>
    <n v="0"/>
    <n v="0"/>
    <n v="9"/>
    <x v="1"/>
  </r>
  <r>
    <s v="STU105"/>
    <x v="2"/>
    <n v="32"/>
    <n v="17"/>
    <n v="50"/>
    <b v="1"/>
    <n v="66.400000000000006"/>
    <n v="72.900000000000006"/>
    <n v="88.7"/>
    <n v="83.6"/>
    <n v="77.900000000000006"/>
    <s v="B.Tech IT"/>
    <n v="4"/>
    <s v="Group B"/>
    <n v="27"/>
    <n v="9"/>
    <n v="65"/>
    <s v="Core"/>
    <n v="3"/>
    <s v="Faculty D"/>
    <s v="High Performance"/>
    <n v="1"/>
    <n v="0"/>
    <n v="0"/>
    <n v="9"/>
    <x v="1"/>
  </r>
  <r>
    <s v="STU105"/>
    <x v="3"/>
    <n v="26"/>
    <n v="16"/>
    <n v="65.384615384615387"/>
    <b v="1"/>
    <n v="68"/>
    <n v="31.3"/>
    <n v="60.9"/>
    <n v="87.7"/>
    <n v="61.975000000000001"/>
    <s v="B.Tech IT"/>
    <n v="4"/>
    <s v="Group B"/>
    <n v="10"/>
    <n v="8"/>
    <n v="38"/>
    <s v="Core"/>
    <n v="3"/>
    <s v="Faculty G"/>
    <s v="Good"/>
    <n v="1"/>
    <n v="0"/>
    <n v="0"/>
    <n v="8"/>
    <x v="1"/>
  </r>
  <r>
    <s v="STU105"/>
    <x v="4"/>
    <n v="35"/>
    <n v="17"/>
    <n v="74.285714285714292"/>
    <b v="1"/>
    <n v="81.7"/>
    <n v="60.1"/>
    <n v="44.7"/>
    <n v="57"/>
    <n v="60.875"/>
    <s v="B.Tech IT"/>
    <n v="4"/>
    <s v="Group B"/>
    <n v="9"/>
    <n v="12"/>
    <n v="49"/>
    <s v="Elective"/>
    <n v="3"/>
    <s v="Faculty F"/>
    <s v="Good"/>
    <n v="1"/>
    <n v="0"/>
    <n v="0"/>
    <n v="12"/>
    <x v="1"/>
  </r>
  <r>
    <s v="STU105"/>
    <x v="5"/>
    <n v="26"/>
    <n v="26"/>
    <n v="53.846153846153847"/>
    <b v="1"/>
    <n v="49"/>
    <n v="68.8"/>
    <n v="58.7"/>
    <n v="59.5"/>
    <n v="59"/>
    <s v="B.Tech IT"/>
    <n v="4"/>
    <s v="Group B"/>
    <n v="12"/>
    <n v="9"/>
    <n v="51"/>
    <s v="Foundation"/>
    <n v="4"/>
    <s v="Faculty E"/>
    <s v="Developing"/>
    <n v="1"/>
    <n v="0"/>
    <n v="0"/>
    <n v="9"/>
    <x v="0"/>
  </r>
  <r>
    <s v="STU106"/>
    <x v="6"/>
    <n v="34"/>
    <n v="14"/>
    <n v="61.764705882352942"/>
    <b v="1"/>
    <n v="55.8"/>
    <n v="32.200000000000003"/>
    <n v="22.4"/>
    <n v="45.7"/>
    <n v="39.025000000000013"/>
    <s v="B.Tech IT"/>
    <n v="6"/>
    <s v="Group B"/>
    <n v="15"/>
    <n v="8"/>
    <n v="50"/>
    <s v="Core"/>
    <n v="3"/>
    <s v="Faculty B"/>
    <s v="Needs Support"/>
    <n v="1"/>
    <n v="0"/>
    <n v="0"/>
    <n v="8"/>
    <x v="0"/>
  </r>
  <r>
    <s v="STU106"/>
    <x v="1"/>
    <n v="40"/>
    <n v="21"/>
    <n v="70"/>
    <b v="1"/>
    <n v="41.3"/>
    <n v="34.9"/>
    <n v="33.799999999999997"/>
    <n v="48.3"/>
    <n v="39.575000000000003"/>
    <s v="B.Tech IT"/>
    <n v="6"/>
    <s v="Group B"/>
    <n v="0"/>
    <n v="12"/>
    <n v="25"/>
    <s v="Practical"/>
    <n v="2"/>
    <s v="Faculty A"/>
    <s v="Needs Support"/>
    <n v="1"/>
    <n v="1"/>
    <n v="0"/>
    <n v="12"/>
    <x v="0"/>
  </r>
  <r>
    <s v="STU106"/>
    <x v="2"/>
    <n v="34"/>
    <n v="28"/>
    <n v="50"/>
    <b v="1"/>
    <n v="38.9"/>
    <m/>
    <n v="6.5"/>
    <n v="50.7"/>
    <n v="32.033333333333331"/>
    <s v="B.Tech IT"/>
    <n v="6"/>
    <s v="Group B"/>
    <n v="19"/>
    <n v="10"/>
    <n v="59"/>
    <s v="Core"/>
    <n v="3"/>
    <s v="Faculty D"/>
    <s v="Needs Support"/>
    <n v="1"/>
    <n v="0"/>
    <n v="1"/>
    <n v="10"/>
    <x v="0"/>
  </r>
  <r>
    <s v="STU106"/>
    <x v="3"/>
    <n v="25"/>
    <n v="17"/>
    <n v="48"/>
    <b v="1"/>
    <n v="48.2"/>
    <n v="58.7"/>
    <n v="43.6"/>
    <n v="74.3"/>
    <n v="56.2"/>
    <s v="B.Tech IT"/>
    <n v="6"/>
    <s v="Group B"/>
    <n v="14"/>
    <n v="8"/>
    <n v="56"/>
    <s v="Core"/>
    <n v="3"/>
    <s v="Faculty G"/>
    <s v="Developing"/>
    <n v="1"/>
    <n v="0"/>
    <n v="0"/>
    <n v="8"/>
    <x v="0"/>
  </r>
  <r>
    <s v="STU106"/>
    <x v="7"/>
    <n v="33"/>
    <n v="12"/>
    <n v="54.54545454545454"/>
    <b v="1"/>
    <n v="78.8"/>
    <n v="56.5"/>
    <n v="48"/>
    <n v="56.9"/>
    <n v="60.05"/>
    <s v="B.Tech IT"/>
    <n v="6"/>
    <s v="Group B"/>
    <n v="22"/>
    <n v="6"/>
    <n v="57"/>
    <s v="Core"/>
    <n v="4"/>
    <s v="Faculty C"/>
    <s v="Good"/>
    <n v="1"/>
    <n v="0"/>
    <n v="0"/>
    <n v="6"/>
    <x v="1"/>
  </r>
  <r>
    <s v="STU106"/>
    <x v="4"/>
    <n v="28"/>
    <n v="18"/>
    <n v="35.714285714285722"/>
    <b v="1"/>
    <n v="30.6"/>
    <n v="41.3"/>
    <n v="59.6"/>
    <n v="48.7"/>
    <n v="45.05"/>
    <s v="B.Tech IT"/>
    <n v="6"/>
    <s v="Group B"/>
    <n v="9"/>
    <n v="6"/>
    <n v="49"/>
    <s v="Elective"/>
    <n v="3"/>
    <s v="Faculty F"/>
    <s v="Developing"/>
    <n v="1"/>
    <n v="0"/>
    <n v="0"/>
    <n v="6"/>
    <x v="0"/>
  </r>
  <r>
    <s v="STU107"/>
    <x v="0"/>
    <n v="32"/>
    <n v="10"/>
    <n v="62.5"/>
    <b v="1"/>
    <n v="77.8"/>
    <n v="90.4"/>
    <n v="83.8"/>
    <n v="84.6"/>
    <n v="84.15"/>
    <s v="B.E. ECE"/>
    <n v="3"/>
    <s v="Group C"/>
    <n v="12"/>
    <n v="10"/>
    <n v="40"/>
    <s v="Core"/>
    <n v="4"/>
    <s v="Faculty A"/>
    <s v="High Performance"/>
    <n v="1"/>
    <n v="0"/>
    <n v="0"/>
    <n v="10"/>
    <x v="1"/>
  </r>
  <r>
    <s v="STU107"/>
    <x v="6"/>
    <n v="34"/>
    <n v="20"/>
    <n v="64.705882352941174"/>
    <b v="1"/>
    <n v="71.400000000000006"/>
    <n v="89.8"/>
    <n v="72.099999999999994"/>
    <n v="75.099999999999994"/>
    <n v="77.099999999999994"/>
    <s v="B.E. ECE"/>
    <n v="3"/>
    <s v="Group C"/>
    <n v="22"/>
    <n v="12"/>
    <n v="57"/>
    <s v="Core"/>
    <n v="3"/>
    <s v="Faculty B"/>
    <s v="High Performance"/>
    <n v="1"/>
    <n v="0"/>
    <n v="0"/>
    <n v="12"/>
    <x v="1"/>
  </r>
  <r>
    <s v="STU107"/>
    <x v="2"/>
    <n v="31"/>
    <n v="22"/>
    <n v="45.161290322580641"/>
    <b v="1"/>
    <m/>
    <n v="100"/>
    <m/>
    <n v="84.3"/>
    <n v="92.15"/>
    <s v="B.E. ECE"/>
    <n v="3"/>
    <s v="Group C"/>
    <n v="12"/>
    <n v="10"/>
    <n v="43"/>
    <s v="Core"/>
    <n v="3"/>
    <s v="Faculty D"/>
    <s v="High Performance"/>
    <n v="1"/>
    <n v="0"/>
    <n v="2"/>
    <n v="10"/>
    <x v="1"/>
  </r>
  <r>
    <s v="STU107"/>
    <x v="3"/>
    <n v="28"/>
    <n v="14"/>
    <n v="64.285714285714292"/>
    <b v="1"/>
    <n v="73"/>
    <n v="74.2"/>
    <n v="58.7"/>
    <n v="98.9"/>
    <n v="76.199999999999989"/>
    <s v="B.E. ECE"/>
    <n v="3"/>
    <s v="Group C"/>
    <n v="21"/>
    <n v="11"/>
    <n v="66"/>
    <s v="Core"/>
    <n v="3"/>
    <s v="Faculty G"/>
    <s v="High Performance"/>
    <n v="1"/>
    <n v="0"/>
    <n v="0"/>
    <n v="11"/>
    <x v="1"/>
  </r>
  <r>
    <s v="STU107"/>
    <x v="4"/>
    <n v="30"/>
    <n v="18"/>
    <n v="66.666666666666657"/>
    <b v="1"/>
    <n v="80.900000000000006"/>
    <n v="67"/>
    <n v="67.3"/>
    <n v="63.9"/>
    <n v="69.774999999999991"/>
    <s v="B.E. ECE"/>
    <n v="3"/>
    <s v="Group C"/>
    <n v="16"/>
    <n v="9"/>
    <n v="49"/>
    <s v="Elective"/>
    <n v="3"/>
    <s v="Faculty F"/>
    <s v="Good"/>
    <n v="1"/>
    <n v="0"/>
    <n v="0"/>
    <n v="9"/>
    <x v="1"/>
  </r>
  <r>
    <s v="STU108"/>
    <x v="6"/>
    <n v="30"/>
    <n v="20"/>
    <n v="73.333333333333329"/>
    <b v="1"/>
    <n v="83.2"/>
    <n v="86.8"/>
    <n v="78.099999999999994"/>
    <n v="65"/>
    <n v="78.275000000000006"/>
    <s v="B.E. CSE"/>
    <n v="5"/>
    <s v="Group A"/>
    <n v="15"/>
    <n v="9"/>
    <n v="54"/>
    <s v="Core"/>
    <n v="3"/>
    <s v="Faculty B"/>
    <s v="High Performance"/>
    <n v="1"/>
    <n v="0"/>
    <n v="0"/>
    <n v="9"/>
    <x v="1"/>
  </r>
  <r>
    <s v="STU108"/>
    <x v="7"/>
    <n v="30"/>
    <n v="22"/>
    <n v="83.333333333333343"/>
    <b v="1"/>
    <n v="97.8"/>
    <n v="80.3"/>
    <n v="100"/>
    <n v="82.1"/>
    <n v="90.050000000000011"/>
    <s v="B.E. CSE"/>
    <n v="5"/>
    <s v="Group A"/>
    <n v="20"/>
    <n v="7"/>
    <n v="66"/>
    <s v="Core"/>
    <n v="4"/>
    <s v="Faculty C"/>
    <s v="High Performance"/>
    <n v="0"/>
    <n v="0"/>
    <n v="0"/>
    <n v="7"/>
    <x v="1"/>
  </r>
  <r>
    <s v="STU108"/>
    <x v="4"/>
    <n v="40"/>
    <n v="25"/>
    <n v="57.499999999999993"/>
    <b v="1"/>
    <n v="91.5"/>
    <n v="94"/>
    <m/>
    <n v="84.2"/>
    <n v="89.899999999999991"/>
    <s v="B.E. CSE"/>
    <n v="5"/>
    <s v="Group A"/>
    <n v="17"/>
    <n v="11"/>
    <n v="65"/>
    <s v="Elective"/>
    <n v="3"/>
    <s v="Faculty F"/>
    <s v="High Performance"/>
    <n v="1"/>
    <n v="0"/>
    <n v="1"/>
    <n v="11"/>
    <x v="1"/>
  </r>
  <r>
    <s v="STU108"/>
    <x v="5"/>
    <n v="25"/>
    <n v="23"/>
    <n v="80"/>
    <b v="1"/>
    <n v="92.2"/>
    <n v="94.9"/>
    <n v="61.3"/>
    <n v="89.2"/>
    <n v="84.4"/>
    <s v="B.E. CSE"/>
    <n v="5"/>
    <s v="Group A"/>
    <n v="16"/>
    <n v="6"/>
    <n v="46"/>
    <s v="Foundation"/>
    <n v="4"/>
    <s v="Faculty E"/>
    <s v="High Performance"/>
    <n v="0"/>
    <n v="0"/>
    <n v="0"/>
    <n v="6"/>
    <x v="1"/>
  </r>
  <r>
    <s v="STU109"/>
    <x v="0"/>
    <n v="30"/>
    <n v="20"/>
    <n v="86.666666666666671"/>
    <b v="1"/>
    <n v="94"/>
    <n v="85"/>
    <n v="74.7"/>
    <n v="92"/>
    <n v="86.424999999999997"/>
    <s v="B.E. CSE"/>
    <n v="5"/>
    <s v="Group B"/>
    <n v="28"/>
    <n v="10"/>
    <n v="74"/>
    <s v="Core"/>
    <n v="4"/>
    <s v="Faculty A"/>
    <s v="High Performance"/>
    <n v="0"/>
    <n v="0"/>
    <n v="0"/>
    <n v="10"/>
    <x v="1"/>
  </r>
  <r>
    <s v="STU109"/>
    <x v="2"/>
    <n v="28"/>
    <n v="26"/>
    <n v="60.714285714285708"/>
    <b v="1"/>
    <n v="100"/>
    <n v="71.3"/>
    <n v="58.7"/>
    <n v="76.7"/>
    <n v="76.674999999999997"/>
    <s v="B.E. CSE"/>
    <n v="5"/>
    <s v="Group B"/>
    <n v="17"/>
    <n v="11"/>
    <n v="56"/>
    <s v="Core"/>
    <n v="3"/>
    <s v="Faculty D"/>
    <s v="High Performance"/>
    <n v="1"/>
    <n v="0"/>
    <n v="0"/>
    <n v="11"/>
    <x v="1"/>
  </r>
  <r>
    <s v="STU109"/>
    <x v="3"/>
    <n v="24"/>
    <n v="17"/>
    <n v="87.5"/>
    <b v="1"/>
    <n v="77.7"/>
    <n v="74.3"/>
    <n v="76.2"/>
    <n v="80.599999999999994"/>
    <n v="77.199999999999989"/>
    <s v="B.E. CSE"/>
    <n v="5"/>
    <s v="Group B"/>
    <n v="20"/>
    <n v="9"/>
    <n v="60"/>
    <s v="Core"/>
    <n v="3"/>
    <s v="Faculty G"/>
    <s v="High Performance"/>
    <n v="0"/>
    <n v="0"/>
    <n v="0"/>
    <n v="9"/>
    <x v="1"/>
  </r>
  <r>
    <s v="STU109"/>
    <x v="4"/>
    <n v="37"/>
    <n v="21"/>
    <n v="62.162162162162161"/>
    <b v="1"/>
    <n v="70.599999999999994"/>
    <n v="91.2"/>
    <n v="63.6"/>
    <n v="76.400000000000006"/>
    <n v="75.45"/>
    <s v="B.E. CSE"/>
    <n v="5"/>
    <s v="Group B"/>
    <n v="13"/>
    <n v="10"/>
    <n v="56"/>
    <s v="Elective"/>
    <n v="3"/>
    <s v="Faculty F"/>
    <s v="High Performance"/>
    <n v="1"/>
    <n v="0"/>
    <n v="0"/>
    <n v="10"/>
    <x v="1"/>
  </r>
  <r>
    <s v="STU110"/>
    <x v="0"/>
    <n v="28"/>
    <n v="23"/>
    <n v="64.285714285714292"/>
    <b v="1"/>
    <n v="91.4"/>
    <n v="73.8"/>
    <n v="73.599999999999994"/>
    <n v="84.9"/>
    <n v="80.924999999999997"/>
    <s v="B.E. EEE"/>
    <n v="3"/>
    <s v="Group A"/>
    <n v="25"/>
    <n v="10"/>
    <n v="67"/>
    <s v="Core"/>
    <n v="4"/>
    <s v="Faculty A"/>
    <s v="High Performance"/>
    <n v="1"/>
    <n v="0"/>
    <n v="0"/>
    <n v="10"/>
    <x v="1"/>
  </r>
  <r>
    <s v="STU110"/>
    <x v="6"/>
    <n v="32"/>
    <n v="18"/>
    <n v="68.75"/>
    <b v="1"/>
    <n v="67.8"/>
    <n v="62.1"/>
    <n v="75.099999999999994"/>
    <n v="60.2"/>
    <n v="66.3"/>
    <s v="B.E. EEE"/>
    <n v="3"/>
    <s v="Group A"/>
    <n v="24"/>
    <n v="8"/>
    <n v="51"/>
    <s v="Core"/>
    <n v="3"/>
    <s v="Faculty B"/>
    <s v="Good"/>
    <n v="1"/>
    <n v="0"/>
    <n v="0"/>
    <n v="8"/>
    <x v="1"/>
  </r>
  <r>
    <s v="STU110"/>
    <x v="3"/>
    <n v="34"/>
    <n v="22"/>
    <n v="44.117647058823529"/>
    <b v="1"/>
    <n v="48"/>
    <n v="74.099999999999994"/>
    <n v="62.9"/>
    <n v="73.900000000000006"/>
    <n v="64.724999999999994"/>
    <s v="B.E. EEE"/>
    <n v="3"/>
    <s v="Group A"/>
    <n v="7"/>
    <n v="6"/>
    <n v="39"/>
    <s v="Core"/>
    <n v="3"/>
    <s v="Faculty G"/>
    <s v="Good"/>
    <n v="1"/>
    <n v="0"/>
    <n v="0"/>
    <n v="6"/>
    <x v="1"/>
  </r>
  <r>
    <s v="STU110"/>
    <x v="4"/>
    <n v="32"/>
    <n v="15"/>
    <n v="81.25"/>
    <b v="1"/>
    <n v="68.2"/>
    <n v="54.2"/>
    <n v="70.8"/>
    <n v="94"/>
    <n v="71.8"/>
    <s v="B.E. EEE"/>
    <n v="3"/>
    <s v="Group A"/>
    <n v="8"/>
    <n v="10"/>
    <n v="18"/>
    <s v="Elective"/>
    <n v="3"/>
    <s v="Faculty F"/>
    <s v="Good"/>
    <n v="0"/>
    <n v="0"/>
    <n v="0"/>
    <n v="10"/>
    <x v="1"/>
  </r>
  <r>
    <s v="STU111"/>
    <x v="0"/>
    <n v="33"/>
    <n v="26"/>
    <n v="54.54545454545454"/>
    <b v="1"/>
    <n v="40.200000000000003"/>
    <n v="75.099999999999994"/>
    <n v="87.3"/>
    <n v="86.6"/>
    <n v="72.3"/>
    <s v="B.E. ECE"/>
    <n v="3"/>
    <s v="Group B"/>
    <n v="19"/>
    <n v="8"/>
    <n v="48"/>
    <s v="Core"/>
    <n v="4"/>
    <s v="Faculty A"/>
    <s v="Good"/>
    <n v="1"/>
    <n v="0"/>
    <n v="0"/>
    <n v="8"/>
    <x v="1"/>
  </r>
  <r>
    <s v="STU111"/>
    <x v="1"/>
    <n v="35"/>
    <n v="18"/>
    <n v="42.857142857142847"/>
    <b v="1"/>
    <n v="76.599999999999994"/>
    <n v="61.6"/>
    <n v="66.5"/>
    <n v="43.3"/>
    <n v="62"/>
    <s v="B.E. ECE"/>
    <n v="3"/>
    <s v="Group B"/>
    <n v="19"/>
    <n v="8"/>
    <n v="50"/>
    <s v="Practical"/>
    <n v="2"/>
    <s v="Faculty A"/>
    <s v="Good"/>
    <n v="1"/>
    <n v="0"/>
    <n v="0"/>
    <n v="8"/>
    <x v="1"/>
  </r>
  <r>
    <s v="STU111"/>
    <x v="2"/>
    <n v="28"/>
    <n v="15"/>
    <n v="57.142857142857139"/>
    <b v="1"/>
    <n v="62.8"/>
    <n v="59.2"/>
    <n v="45.4"/>
    <n v="50.1"/>
    <n v="54.375"/>
    <s v="B.E. ECE"/>
    <n v="3"/>
    <s v="Group B"/>
    <n v="9"/>
    <n v="9"/>
    <n v="51"/>
    <s v="Core"/>
    <n v="3"/>
    <s v="Faculty D"/>
    <s v="Developing"/>
    <n v="1"/>
    <n v="0"/>
    <n v="0"/>
    <n v="9"/>
    <x v="0"/>
  </r>
  <r>
    <s v="STU111"/>
    <x v="3"/>
    <n v="28"/>
    <n v="16"/>
    <n v="64.285714285714292"/>
    <b v="1"/>
    <n v="58.2"/>
    <n v="60"/>
    <n v="65.599999999999994"/>
    <n v="67.900000000000006"/>
    <n v="62.924999999999997"/>
    <s v="B.E. ECE"/>
    <n v="3"/>
    <s v="Group B"/>
    <n v="3"/>
    <n v="10"/>
    <n v="16"/>
    <s v="Core"/>
    <n v="3"/>
    <s v="Faculty G"/>
    <s v="Good"/>
    <n v="1"/>
    <n v="1"/>
    <n v="0"/>
    <n v="10"/>
    <x v="1"/>
  </r>
  <r>
    <s v="STU111"/>
    <x v="7"/>
    <n v="30"/>
    <n v="18"/>
    <n v="43.333333333333343"/>
    <b v="1"/>
    <n v="65.7"/>
    <n v="71.8"/>
    <n v="41.8"/>
    <n v="73.400000000000006"/>
    <n v="63.174999999999997"/>
    <s v="B.E. ECE"/>
    <n v="3"/>
    <s v="Group B"/>
    <n v="19"/>
    <n v="6"/>
    <n v="59"/>
    <s v="Core"/>
    <n v="4"/>
    <s v="Faculty C"/>
    <s v="Good"/>
    <n v="1"/>
    <n v="0"/>
    <n v="0"/>
    <n v="6"/>
    <x v="1"/>
  </r>
  <r>
    <s v="STU111"/>
    <x v="5"/>
    <n v="27"/>
    <n v="13"/>
    <n v="59.259259259259252"/>
    <b v="1"/>
    <n v="44.8"/>
    <n v="76.5"/>
    <n v="73.099999999999994"/>
    <n v="71.900000000000006"/>
    <n v="66.574999999999989"/>
    <s v="B.E. ECE"/>
    <n v="3"/>
    <s v="Group B"/>
    <n v="13"/>
    <n v="7"/>
    <n v="53"/>
    <s v="Foundation"/>
    <n v="4"/>
    <s v="Faculty E"/>
    <s v="Good"/>
    <n v="1"/>
    <n v="0"/>
    <n v="0"/>
    <n v="7"/>
    <x v="1"/>
  </r>
  <r>
    <s v="STU112"/>
    <x v="0"/>
    <n v="34"/>
    <n v="16"/>
    <n v="47.058823529411761"/>
    <b v="1"/>
    <n v="69.900000000000006"/>
    <m/>
    <n v="61.5"/>
    <n v="68.5"/>
    <n v="66.63333333333334"/>
    <s v="B.E. CSE"/>
    <n v="4"/>
    <s v="Group A"/>
    <n v="15"/>
    <n v="11"/>
    <n v="42"/>
    <s v="Core"/>
    <n v="4"/>
    <s v="Faculty A"/>
    <s v="Good"/>
    <n v="1"/>
    <n v="0"/>
    <n v="1"/>
    <n v="11"/>
    <x v="1"/>
  </r>
  <r>
    <s v="STU112"/>
    <x v="6"/>
    <n v="31"/>
    <n v="16"/>
    <n v="51.612903225806448"/>
    <b v="1"/>
    <n v="54.4"/>
    <n v="44"/>
    <n v="33"/>
    <n v="44.7"/>
    <n v="44.025000000000013"/>
    <s v="B.E. CSE"/>
    <n v="4"/>
    <s v="Group A"/>
    <n v="20"/>
    <n v="10"/>
    <n v="72"/>
    <s v="Core"/>
    <n v="3"/>
    <s v="Faculty B"/>
    <s v="Developing"/>
    <n v="1"/>
    <n v="0"/>
    <n v="0"/>
    <n v="10"/>
    <x v="0"/>
  </r>
  <r>
    <s v="STU112"/>
    <x v="2"/>
    <n v="28"/>
    <n v="16"/>
    <n v="42.857142857142847"/>
    <b v="1"/>
    <n v="63.7"/>
    <n v="58.7"/>
    <n v="64.599999999999994"/>
    <n v="56.5"/>
    <n v="60.875"/>
    <s v="B.E. CSE"/>
    <n v="4"/>
    <s v="Group A"/>
    <n v="20"/>
    <n v="8"/>
    <n v="49"/>
    <s v="Core"/>
    <n v="3"/>
    <s v="Faculty D"/>
    <s v="Good"/>
    <n v="1"/>
    <n v="0"/>
    <n v="0"/>
    <n v="8"/>
    <x v="1"/>
  </r>
  <r>
    <s v="STU112"/>
    <x v="7"/>
    <n v="30"/>
    <n v="12"/>
    <n v="43.333333333333343"/>
    <b v="1"/>
    <n v="68.5"/>
    <n v="70.8"/>
    <n v="26.7"/>
    <n v="90.5"/>
    <n v="64.125"/>
    <s v="B.E. CSE"/>
    <n v="4"/>
    <s v="Group A"/>
    <n v="11"/>
    <n v="13"/>
    <n v="27"/>
    <s v="Core"/>
    <n v="4"/>
    <s v="Faculty C"/>
    <s v="Good"/>
    <n v="1"/>
    <n v="0"/>
    <n v="0"/>
    <n v="13"/>
    <x v="1"/>
  </r>
  <r>
    <s v="STU112"/>
    <x v="5"/>
    <n v="26"/>
    <n v="13"/>
    <n v="50"/>
    <b v="1"/>
    <n v="67.8"/>
    <n v="83.3"/>
    <n v="64.8"/>
    <n v="74.599999999999994"/>
    <n v="72.625"/>
    <s v="B.E. CSE"/>
    <n v="4"/>
    <s v="Group A"/>
    <n v="20"/>
    <n v="6"/>
    <n v="47"/>
    <s v="Foundation"/>
    <n v="4"/>
    <s v="Faculty E"/>
    <s v="Good"/>
    <n v="1"/>
    <n v="0"/>
    <n v="0"/>
    <n v="6"/>
    <x v="1"/>
  </r>
  <r>
    <s v="STU113"/>
    <x v="0"/>
    <n v="30"/>
    <n v="13"/>
    <n v="43.333333333333343"/>
    <b v="1"/>
    <n v="44.6"/>
    <n v="51.1"/>
    <n v="76.400000000000006"/>
    <n v="66.5"/>
    <n v="59.650000000000013"/>
    <s v="B.E. CSE"/>
    <n v="6"/>
    <s v="Group B"/>
    <n v="20"/>
    <n v="8"/>
    <n v="53"/>
    <s v="Core"/>
    <n v="4"/>
    <s v="Faculty A"/>
    <s v="Developing"/>
    <n v="1"/>
    <n v="0"/>
    <n v="0"/>
    <n v="8"/>
    <x v="0"/>
  </r>
  <r>
    <s v="STU113"/>
    <x v="6"/>
    <n v="27"/>
    <n v="13"/>
    <n v="59.259259259259252"/>
    <b v="1"/>
    <n v="25.8"/>
    <n v="54.4"/>
    <n v="69.099999999999994"/>
    <n v="72.900000000000006"/>
    <n v="55.55"/>
    <s v="B.E. CSE"/>
    <n v="6"/>
    <s v="Group B"/>
    <n v="18"/>
    <n v="12"/>
    <n v="52"/>
    <s v="Core"/>
    <n v="3"/>
    <s v="Faculty B"/>
    <s v="Developing"/>
    <n v="1"/>
    <n v="0"/>
    <n v="0"/>
    <n v="12"/>
    <x v="0"/>
  </r>
  <r>
    <s v="STU113"/>
    <x v="3"/>
    <n v="38"/>
    <n v="16"/>
    <n v="39.473684210526322"/>
    <b v="1"/>
    <n v="65.900000000000006"/>
    <n v="77.900000000000006"/>
    <n v="55"/>
    <n v="65.7"/>
    <n v="66.125"/>
    <s v="B.E. CSE"/>
    <n v="6"/>
    <s v="Group B"/>
    <n v="16"/>
    <n v="10"/>
    <n v="36"/>
    <s v="Core"/>
    <n v="3"/>
    <s v="Faculty G"/>
    <s v="Good"/>
    <n v="1"/>
    <n v="0"/>
    <n v="0"/>
    <n v="10"/>
    <x v="1"/>
  </r>
  <r>
    <s v="STU113"/>
    <x v="7"/>
    <n v="39"/>
    <n v="15"/>
    <n v="56.410256410256409"/>
    <b v="1"/>
    <n v="84"/>
    <n v="66.099999999999994"/>
    <n v="62.5"/>
    <n v="73.400000000000006"/>
    <n v="71.5"/>
    <s v="B.E. CSE"/>
    <n v="6"/>
    <s v="Group B"/>
    <n v="17"/>
    <n v="7"/>
    <n v="55"/>
    <s v="Core"/>
    <n v="4"/>
    <s v="Faculty C"/>
    <s v="Good"/>
    <n v="1"/>
    <n v="0"/>
    <n v="0"/>
    <n v="7"/>
    <x v="1"/>
  </r>
  <r>
    <s v="STU113"/>
    <x v="4"/>
    <n v="33"/>
    <n v="22"/>
    <n v="72.727272727272734"/>
    <b v="1"/>
    <n v="47.7"/>
    <n v="52.1"/>
    <n v="23"/>
    <n v="72.400000000000006"/>
    <n v="48.8"/>
    <s v="B.E. CSE"/>
    <n v="6"/>
    <s v="Group B"/>
    <n v="14"/>
    <n v="7"/>
    <n v="35"/>
    <s v="Elective"/>
    <n v="3"/>
    <s v="Faculty F"/>
    <s v="Developing"/>
    <n v="1"/>
    <n v="0"/>
    <n v="0"/>
    <n v="7"/>
    <x v="0"/>
  </r>
  <r>
    <s v="STU113"/>
    <x v="5"/>
    <n v="28"/>
    <n v="24"/>
    <n v="50"/>
    <b v="1"/>
    <n v="60.5"/>
    <n v="62.8"/>
    <n v="49.2"/>
    <n v="63"/>
    <n v="58.875"/>
    <s v="B.E. CSE"/>
    <n v="6"/>
    <s v="Group B"/>
    <n v="25"/>
    <n v="9"/>
    <n v="67"/>
    <s v="Foundation"/>
    <n v="4"/>
    <s v="Faculty E"/>
    <s v="Developing"/>
    <n v="1"/>
    <n v="0"/>
    <n v="0"/>
    <n v="9"/>
    <x v="0"/>
  </r>
  <r>
    <s v="STU114"/>
    <x v="0"/>
    <n v="40"/>
    <n v="14"/>
    <n v="90"/>
    <b v="1"/>
    <n v="46.8"/>
    <n v="70.8"/>
    <n v="50.2"/>
    <n v="91.4"/>
    <n v="64.800000000000011"/>
    <s v="B.E. ECE"/>
    <n v="5"/>
    <s v="Group B"/>
    <n v="21"/>
    <n v="7"/>
    <n v="58"/>
    <s v="Core"/>
    <n v="4"/>
    <s v="Faculty A"/>
    <s v="Good"/>
    <n v="0"/>
    <n v="0"/>
    <n v="0"/>
    <n v="7"/>
    <x v="1"/>
  </r>
  <r>
    <s v="STU114"/>
    <x v="1"/>
    <n v="37"/>
    <n v="36"/>
    <n v="51.351351351351347"/>
    <b v="1"/>
    <n v="80.900000000000006"/>
    <n v="59.7"/>
    <n v="63.1"/>
    <n v="68.3"/>
    <n v="68"/>
    <s v="B.E. ECE"/>
    <n v="5"/>
    <s v="Group B"/>
    <n v="16"/>
    <n v="5"/>
    <n v="61"/>
    <s v="Practical"/>
    <n v="2"/>
    <s v="Faculty A"/>
    <s v="Good"/>
    <n v="1"/>
    <n v="0"/>
    <n v="0"/>
    <n v="5"/>
    <x v="1"/>
  </r>
  <r>
    <s v="STU114"/>
    <x v="2"/>
    <n v="31"/>
    <n v="19"/>
    <n v="83.870967741935488"/>
    <b v="1"/>
    <n v="59.1"/>
    <n v="74.7"/>
    <n v="40.6"/>
    <n v="66.2"/>
    <n v="60.150000000000013"/>
    <s v="B.E. ECE"/>
    <n v="5"/>
    <s v="Group B"/>
    <n v="17"/>
    <n v="8"/>
    <n v="58"/>
    <s v="Core"/>
    <n v="3"/>
    <s v="Faculty D"/>
    <s v="Good"/>
    <n v="0"/>
    <n v="0"/>
    <n v="0"/>
    <n v="8"/>
    <x v="1"/>
  </r>
  <r>
    <s v="STU114"/>
    <x v="7"/>
    <n v="24"/>
    <n v="26"/>
    <n v="66.666666666666657"/>
    <b v="1"/>
    <n v="60"/>
    <n v="59.4"/>
    <n v="79.8"/>
    <n v="71.099999999999994"/>
    <n v="67.574999999999989"/>
    <s v="B.E. ECE"/>
    <n v="5"/>
    <s v="Group B"/>
    <n v="21"/>
    <n v="3"/>
    <n v="57"/>
    <s v="Core"/>
    <n v="4"/>
    <s v="Faculty C"/>
    <s v="Good"/>
    <n v="1"/>
    <n v="0"/>
    <n v="0"/>
    <n v="3"/>
    <x v="1"/>
  </r>
  <r>
    <s v="STU114"/>
    <x v="4"/>
    <n v="31"/>
    <n v="16"/>
    <n v="48.387096774193552"/>
    <b v="1"/>
    <n v="72.7"/>
    <n v="48.1"/>
    <n v="55.2"/>
    <n v="78.599999999999994"/>
    <n v="63.65"/>
    <s v="B.E. ECE"/>
    <n v="5"/>
    <s v="Group B"/>
    <n v="9"/>
    <n v="9"/>
    <n v="37"/>
    <s v="Elective"/>
    <n v="3"/>
    <s v="Faculty F"/>
    <s v="Good"/>
    <n v="1"/>
    <n v="0"/>
    <n v="0"/>
    <n v="9"/>
    <x v="1"/>
  </r>
  <r>
    <s v="STU115"/>
    <x v="6"/>
    <n v="33"/>
    <n v="15"/>
    <n v="51.515151515151523"/>
    <b v="1"/>
    <n v="60.2"/>
    <n v="60.8"/>
    <n v="75.8"/>
    <n v="81.599999999999994"/>
    <n v="69.599999999999994"/>
    <s v="B.E. CSE"/>
    <n v="6"/>
    <s v="Group B"/>
    <n v="22"/>
    <n v="7"/>
    <n v="55"/>
    <s v="Core"/>
    <n v="3"/>
    <s v="Faculty B"/>
    <s v="Good"/>
    <n v="1"/>
    <n v="0"/>
    <n v="0"/>
    <n v="7"/>
    <x v="1"/>
  </r>
  <r>
    <s v="STU115"/>
    <x v="1"/>
    <n v="38"/>
    <n v="17"/>
    <n v="50"/>
    <b v="1"/>
    <n v="72.900000000000006"/>
    <n v="68.099999999999994"/>
    <n v="69.7"/>
    <n v="65.400000000000006"/>
    <n v="69.025000000000006"/>
    <s v="B.E. CSE"/>
    <n v="6"/>
    <s v="Group B"/>
    <n v="16"/>
    <n v="7"/>
    <n v="57"/>
    <s v="Practical"/>
    <n v="2"/>
    <s v="Faculty A"/>
    <s v="Good"/>
    <n v="1"/>
    <n v="0"/>
    <n v="0"/>
    <n v="7"/>
    <x v="1"/>
  </r>
  <r>
    <s v="STU115"/>
    <x v="7"/>
    <n v="35"/>
    <n v="19"/>
    <n v="57.142857142857139"/>
    <b v="1"/>
    <n v="65.400000000000006"/>
    <n v="59"/>
    <n v="78.3"/>
    <n v="60.6"/>
    <n v="65.825000000000003"/>
    <s v="B.E. CSE"/>
    <n v="6"/>
    <s v="Group B"/>
    <n v="15"/>
    <n v="8"/>
    <n v="35"/>
    <s v="Core"/>
    <n v="4"/>
    <s v="Faculty C"/>
    <s v="Good"/>
    <n v="1"/>
    <n v="0"/>
    <n v="0"/>
    <n v="8"/>
    <x v="1"/>
  </r>
  <r>
    <s v="STU115"/>
    <x v="5"/>
    <n v="32"/>
    <n v="20"/>
    <n v="78.125"/>
    <b v="1"/>
    <n v="53.6"/>
    <n v="65.900000000000006"/>
    <n v="51.7"/>
    <n v="57.7"/>
    <n v="57.225000000000001"/>
    <s v="B.E. CSE"/>
    <n v="6"/>
    <s v="Group B"/>
    <n v="18"/>
    <n v="10"/>
    <n v="46"/>
    <s v="Foundation"/>
    <n v="4"/>
    <s v="Faculty E"/>
    <s v="Developing"/>
    <n v="0"/>
    <n v="0"/>
    <n v="0"/>
    <n v="10"/>
    <x v="1"/>
  </r>
  <r>
    <s v="STU116"/>
    <x v="0"/>
    <n v="24"/>
    <n v="25"/>
    <n v="70.833333333333343"/>
    <b v="1"/>
    <n v="96.9"/>
    <n v="100"/>
    <n v="99.6"/>
    <n v="75.599999999999994"/>
    <n v="93.025000000000006"/>
    <s v="B.E. EEE"/>
    <n v="6"/>
    <s v="Group B"/>
    <n v="23"/>
    <n v="15"/>
    <n v="67"/>
    <s v="Core"/>
    <n v="4"/>
    <s v="Faculty A"/>
    <s v="High Performance"/>
    <n v="1"/>
    <n v="0"/>
    <n v="0"/>
    <n v="15"/>
    <x v="1"/>
  </r>
  <r>
    <s v="STU116"/>
    <x v="6"/>
    <n v="26"/>
    <n v="17"/>
    <n v="84.615384615384613"/>
    <b v="1"/>
    <n v="82.9"/>
    <n v="76.599999999999994"/>
    <n v="67"/>
    <n v="84.7"/>
    <n v="77.8"/>
    <s v="B.E. EEE"/>
    <n v="6"/>
    <s v="Group B"/>
    <n v="23"/>
    <n v="9"/>
    <n v="56"/>
    <s v="Core"/>
    <n v="3"/>
    <s v="Faculty B"/>
    <s v="High Performance"/>
    <n v="0"/>
    <n v="0"/>
    <n v="0"/>
    <n v="9"/>
    <x v="1"/>
  </r>
  <r>
    <s v="STU116"/>
    <x v="1"/>
    <n v="39"/>
    <n v="22"/>
    <n v="58.974358974358978"/>
    <b v="1"/>
    <n v="100"/>
    <n v="94.9"/>
    <n v="85.9"/>
    <n v="100"/>
    <n v="95.2"/>
    <s v="B.E. EEE"/>
    <n v="6"/>
    <s v="Group B"/>
    <n v="9"/>
    <n v="11"/>
    <n v="64"/>
    <s v="Practical"/>
    <n v="2"/>
    <s v="Faculty A"/>
    <s v="High Performance"/>
    <n v="1"/>
    <n v="0"/>
    <n v="0"/>
    <n v="11"/>
    <x v="1"/>
  </r>
  <r>
    <s v="STU116"/>
    <x v="2"/>
    <n v="27"/>
    <n v="23"/>
    <n v="66.666666666666657"/>
    <b v="1"/>
    <n v="60.4"/>
    <n v="75.3"/>
    <n v="82.4"/>
    <n v="98.7"/>
    <n v="79.2"/>
    <s v="B.E. EEE"/>
    <n v="6"/>
    <s v="Group B"/>
    <n v="17"/>
    <n v="13"/>
    <n v="44"/>
    <s v="Core"/>
    <n v="3"/>
    <s v="Faculty D"/>
    <s v="High Performance"/>
    <n v="1"/>
    <n v="0"/>
    <n v="0"/>
    <n v="13"/>
    <x v="1"/>
  </r>
  <r>
    <s v="STU116"/>
    <x v="3"/>
    <n v="38"/>
    <n v="18"/>
    <n v="76.31578947368422"/>
    <b v="1"/>
    <n v="97"/>
    <n v="77.599999999999994"/>
    <n v="81.2"/>
    <n v="81.5"/>
    <n v="84.325000000000003"/>
    <s v="B.E. EEE"/>
    <n v="6"/>
    <s v="Group B"/>
    <n v="17"/>
    <n v="13"/>
    <n v="52"/>
    <s v="Core"/>
    <n v="3"/>
    <s v="Faculty G"/>
    <s v="High Performance"/>
    <n v="0"/>
    <n v="0"/>
    <n v="0"/>
    <n v="13"/>
    <x v="1"/>
  </r>
  <r>
    <s v="STU116"/>
    <x v="5"/>
    <n v="35"/>
    <n v="29"/>
    <n v="60"/>
    <b v="1"/>
    <n v="100"/>
    <n v="80.900000000000006"/>
    <n v="86.7"/>
    <n v="100"/>
    <n v="91.9"/>
    <s v="B.E. EEE"/>
    <n v="6"/>
    <s v="Group B"/>
    <n v="12"/>
    <n v="11"/>
    <n v="53"/>
    <s v="Foundation"/>
    <n v="4"/>
    <s v="Faculty E"/>
    <s v="High Performance"/>
    <n v="1"/>
    <n v="0"/>
    <n v="0"/>
    <n v="11"/>
    <x v="1"/>
  </r>
  <r>
    <s v="STU117"/>
    <x v="6"/>
    <n v="36"/>
    <n v="21"/>
    <n v="55.555555555555557"/>
    <b v="1"/>
    <n v="73.099999999999994"/>
    <n v="52.7"/>
    <n v="55.9"/>
    <n v="69.3"/>
    <n v="62.75"/>
    <s v="B.Tech IT"/>
    <n v="4"/>
    <s v="Group B"/>
    <n v="15"/>
    <n v="9"/>
    <n v="70"/>
    <s v="Core"/>
    <n v="3"/>
    <s v="Faculty B"/>
    <s v="Good"/>
    <n v="1"/>
    <n v="0"/>
    <n v="0"/>
    <n v="9"/>
    <x v="1"/>
  </r>
  <r>
    <s v="STU117"/>
    <x v="2"/>
    <n v="30"/>
    <n v="20"/>
    <n v="56.666666666666657"/>
    <b v="1"/>
    <n v="74"/>
    <n v="90.5"/>
    <m/>
    <n v="75.900000000000006"/>
    <n v="80.13333333333334"/>
    <s v="B.Tech IT"/>
    <n v="4"/>
    <s v="Group B"/>
    <n v="8"/>
    <n v="6"/>
    <n v="18"/>
    <s v="Core"/>
    <n v="3"/>
    <s v="Faculty D"/>
    <s v="High Performance"/>
    <n v="1"/>
    <n v="0"/>
    <n v="1"/>
    <n v="6"/>
    <x v="1"/>
  </r>
  <r>
    <s v="STU117"/>
    <x v="3"/>
    <n v="28"/>
    <n v="17"/>
    <n v="67.857142857142861"/>
    <b v="1"/>
    <n v="74.3"/>
    <n v="64.5"/>
    <n v="53.8"/>
    <n v="58.6"/>
    <n v="62.8"/>
    <s v="B.Tech IT"/>
    <n v="4"/>
    <s v="Group B"/>
    <n v="21"/>
    <n v="7"/>
    <n v="49"/>
    <s v="Core"/>
    <n v="3"/>
    <s v="Faculty G"/>
    <s v="Good"/>
    <n v="1"/>
    <n v="0"/>
    <n v="0"/>
    <n v="7"/>
    <x v="1"/>
  </r>
  <r>
    <s v="STU117"/>
    <x v="7"/>
    <n v="39"/>
    <n v="19"/>
    <n v="69.230769230769226"/>
    <b v="1"/>
    <n v="72.5"/>
    <n v="69.900000000000006"/>
    <n v="68.2"/>
    <n v="64.5"/>
    <n v="68.775000000000006"/>
    <s v="B.Tech IT"/>
    <n v="4"/>
    <s v="Group B"/>
    <n v="28"/>
    <n v="8"/>
    <n v="84"/>
    <s v="Core"/>
    <n v="4"/>
    <s v="Faculty C"/>
    <s v="Good"/>
    <n v="1"/>
    <n v="0"/>
    <n v="0"/>
    <n v="8"/>
    <x v="1"/>
  </r>
  <r>
    <s v="STU118"/>
    <x v="0"/>
    <n v="26"/>
    <n v="27"/>
    <n v="73.076923076923066"/>
    <b v="1"/>
    <n v="56.5"/>
    <n v="73.2"/>
    <n v="46.6"/>
    <n v="73.3"/>
    <n v="62.399999999999991"/>
    <s v="B.Tech IT"/>
    <n v="5"/>
    <s v="Group B"/>
    <n v="22"/>
    <n v="8"/>
    <n v="57"/>
    <s v="Core"/>
    <n v="4"/>
    <s v="Faculty A"/>
    <s v="Good"/>
    <n v="1"/>
    <n v="0"/>
    <n v="0"/>
    <n v="8"/>
    <x v="1"/>
  </r>
  <r>
    <s v="STU118"/>
    <x v="6"/>
    <n v="32"/>
    <n v="19"/>
    <n v="90.625"/>
    <b v="1"/>
    <n v="61.8"/>
    <n v="58.7"/>
    <n v="60.3"/>
    <n v="51.3"/>
    <n v="58.025000000000013"/>
    <s v="B.Tech IT"/>
    <n v="5"/>
    <s v="Group B"/>
    <n v="23"/>
    <n v="9"/>
    <n v="61"/>
    <s v="Core"/>
    <n v="3"/>
    <s v="Faculty B"/>
    <s v="Developing"/>
    <n v="0"/>
    <n v="0"/>
    <n v="0"/>
    <n v="9"/>
    <x v="1"/>
  </r>
  <r>
    <s v="STU118"/>
    <x v="2"/>
    <n v="37"/>
    <n v="29"/>
    <n v="62.162162162162161"/>
    <b v="1"/>
    <n v="60.2"/>
    <n v="60.4"/>
    <n v="80.3"/>
    <n v="60.3"/>
    <n v="65.3"/>
    <s v="B.Tech IT"/>
    <n v="5"/>
    <s v="Group B"/>
    <n v="23"/>
    <n v="6"/>
    <n v="52"/>
    <s v="Core"/>
    <n v="3"/>
    <s v="Faculty D"/>
    <s v="Good"/>
    <n v="1"/>
    <n v="0"/>
    <n v="0"/>
    <n v="6"/>
    <x v="1"/>
  </r>
  <r>
    <s v="STU118"/>
    <x v="7"/>
    <n v="26"/>
    <n v="23"/>
    <n v="57.692307692307693"/>
    <b v="1"/>
    <n v="66.8"/>
    <n v="51.4"/>
    <n v="63.2"/>
    <n v="83.7"/>
    <n v="66.274999999999991"/>
    <s v="B.Tech IT"/>
    <n v="5"/>
    <s v="Group B"/>
    <n v="24"/>
    <n v="6"/>
    <n v="58"/>
    <s v="Core"/>
    <n v="4"/>
    <s v="Faculty C"/>
    <s v="Good"/>
    <n v="1"/>
    <n v="0"/>
    <n v="0"/>
    <n v="6"/>
    <x v="1"/>
  </r>
  <r>
    <s v="STU118"/>
    <x v="5"/>
    <n v="29"/>
    <n v="15"/>
    <n v="86.206896551724128"/>
    <b v="1"/>
    <n v="61.7"/>
    <n v="61"/>
    <n v="54.4"/>
    <n v="83.7"/>
    <n v="65.2"/>
    <s v="B.Tech IT"/>
    <n v="5"/>
    <s v="Group B"/>
    <n v="14"/>
    <n v="7"/>
    <n v="60"/>
    <s v="Foundation"/>
    <n v="4"/>
    <s v="Faculty E"/>
    <s v="Good"/>
    <n v="0"/>
    <n v="0"/>
    <n v="0"/>
    <n v="7"/>
    <x v="1"/>
  </r>
  <r>
    <s v="STU119"/>
    <x v="6"/>
    <n v="24"/>
    <n v="25"/>
    <n v="37.5"/>
    <b v="1"/>
    <n v="61.6"/>
    <n v="48.8"/>
    <n v="69.7"/>
    <n v="51.4"/>
    <n v="57.875000000000007"/>
    <s v="B.E. ECE"/>
    <n v="3"/>
    <s v="Group B"/>
    <n v="14"/>
    <n v="9"/>
    <n v="21"/>
    <s v="Core"/>
    <n v="3"/>
    <s v="Faculty B"/>
    <s v="Developing"/>
    <n v="1"/>
    <n v="0"/>
    <n v="0"/>
    <n v="9"/>
    <x v="0"/>
  </r>
  <r>
    <s v="STU119"/>
    <x v="2"/>
    <n v="40"/>
    <n v="9"/>
    <n v="60"/>
    <b v="1"/>
    <n v="67.900000000000006"/>
    <n v="64.7"/>
    <n v="32.200000000000003"/>
    <n v="68.2"/>
    <n v="58.25"/>
    <s v="B.E. ECE"/>
    <n v="3"/>
    <s v="Group B"/>
    <n v="15"/>
    <n v="6"/>
    <n v="49"/>
    <s v="Core"/>
    <n v="3"/>
    <s v="Faculty D"/>
    <s v="Developing"/>
    <n v="1"/>
    <n v="0"/>
    <n v="0"/>
    <n v="6"/>
    <x v="0"/>
  </r>
  <r>
    <s v="STU119"/>
    <x v="3"/>
    <n v="24"/>
    <n v="24"/>
    <n v="54.166666666666657"/>
    <b v="1"/>
    <m/>
    <n v="50.3"/>
    <n v="51.8"/>
    <n v="61.4"/>
    <n v="54.5"/>
    <s v="B.E. ECE"/>
    <n v="3"/>
    <s v="Group B"/>
    <n v="14"/>
    <n v="10"/>
    <n v="57"/>
    <s v="Core"/>
    <n v="3"/>
    <s v="Faculty G"/>
    <s v="Developing"/>
    <n v="1"/>
    <n v="0"/>
    <n v="1"/>
    <n v="10"/>
    <x v="0"/>
  </r>
  <r>
    <s v="STU119"/>
    <x v="4"/>
    <n v="24"/>
    <n v="13"/>
    <n v="75"/>
    <b v="1"/>
    <n v="50.3"/>
    <n v="72.099999999999994"/>
    <n v="70.599999999999994"/>
    <m/>
    <n v="64.333333333333329"/>
    <s v="B.E. ECE"/>
    <n v="3"/>
    <s v="Group B"/>
    <n v="15"/>
    <n v="11"/>
    <n v="54"/>
    <s v="Elective"/>
    <n v="3"/>
    <s v="Faculty F"/>
    <s v="Good"/>
    <n v="0"/>
    <n v="0"/>
    <n v="1"/>
    <n v="11"/>
    <x v="1"/>
  </r>
  <r>
    <s v="STU119"/>
    <x v="5"/>
    <n v="33"/>
    <n v="18"/>
    <n v="78.787878787878782"/>
    <b v="1"/>
    <n v="54.5"/>
    <n v="66"/>
    <n v="65.3"/>
    <n v="66.099999999999994"/>
    <n v="62.975000000000001"/>
    <s v="B.E. ECE"/>
    <n v="3"/>
    <s v="Group B"/>
    <n v="25"/>
    <n v="9"/>
    <n v="67"/>
    <s v="Foundation"/>
    <n v="4"/>
    <s v="Faculty E"/>
    <s v="Good"/>
    <n v="0"/>
    <n v="0"/>
    <n v="0"/>
    <n v="9"/>
    <x v="1"/>
  </r>
  <r>
    <s v="STU120"/>
    <x v="0"/>
    <n v="29"/>
    <n v="26"/>
    <n v="62.068965517241381"/>
    <b v="1"/>
    <n v="76.900000000000006"/>
    <n v="74.599999999999994"/>
    <n v="64.5"/>
    <n v="93.4"/>
    <n v="77.349999999999994"/>
    <s v="B.Tech IT"/>
    <n v="3"/>
    <s v="Group B"/>
    <n v="16"/>
    <n v="7"/>
    <n v="48"/>
    <s v="Core"/>
    <n v="4"/>
    <s v="Faculty A"/>
    <s v="High Performance"/>
    <n v="1"/>
    <n v="0"/>
    <n v="0"/>
    <n v="7"/>
    <x v="1"/>
  </r>
  <r>
    <s v="STU120"/>
    <x v="2"/>
    <n v="33"/>
    <n v="18"/>
    <n v="75.757575757575751"/>
    <b v="1"/>
    <n v="100"/>
    <n v="97.9"/>
    <n v="86.3"/>
    <n v="87.6"/>
    <n v="92.95"/>
    <s v="B.Tech IT"/>
    <n v="3"/>
    <s v="Group B"/>
    <n v="20"/>
    <n v="7"/>
    <n v="40"/>
    <s v="Core"/>
    <n v="3"/>
    <s v="Faculty D"/>
    <s v="High Performance"/>
    <n v="0"/>
    <n v="0"/>
    <n v="0"/>
    <n v="7"/>
    <x v="1"/>
  </r>
  <r>
    <s v="STU120"/>
    <x v="4"/>
    <n v="29"/>
    <n v="25"/>
    <n v="41.379310344827587"/>
    <b v="1"/>
    <n v="87.8"/>
    <n v="86.9"/>
    <n v="100"/>
    <n v="95.7"/>
    <n v="92.6"/>
    <s v="B.Tech IT"/>
    <n v="3"/>
    <s v="Group B"/>
    <n v="24"/>
    <n v="15"/>
    <n v="70"/>
    <s v="Elective"/>
    <n v="3"/>
    <s v="Faculty F"/>
    <s v="High Performance"/>
    <n v="1"/>
    <n v="0"/>
    <n v="0"/>
    <n v="15"/>
    <x v="1"/>
  </r>
  <r>
    <s v="STU120"/>
    <x v="5"/>
    <n v="36"/>
    <n v="12"/>
    <n v="66.666666666666657"/>
    <b v="1"/>
    <n v="60.5"/>
    <n v="69.599999999999994"/>
    <n v="62.1"/>
    <n v="68.099999999999994"/>
    <n v="65.074999999999989"/>
    <s v="B.Tech IT"/>
    <n v="3"/>
    <s v="Group B"/>
    <n v="17"/>
    <n v="13"/>
    <n v="57"/>
    <s v="Foundation"/>
    <n v="4"/>
    <s v="Faculty E"/>
    <s v="Good"/>
    <n v="1"/>
    <n v="0"/>
    <n v="0"/>
    <n v="13"/>
    <x v="1"/>
  </r>
  <r>
    <m/>
    <x v="8"/>
    <m/>
    <n v="24"/>
    <m/>
    <m/>
    <m/>
    <m/>
    <m/>
    <m/>
    <m/>
    <m/>
    <m/>
    <m/>
    <m/>
    <m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4FD7D-B412-48F1-856A-DF23EDF1B068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2" firstHeaderRow="1" firstDataRow="1" firstDataCol="1"/>
  <pivotFields count="26">
    <pivotField showAll="0"/>
    <pivotField axis="axisRow" showAll="0">
      <items count="10">
        <item x="0"/>
        <item x="6"/>
        <item x="1"/>
        <item x="2"/>
        <item x="3"/>
        <item x="7"/>
        <item x="4"/>
        <item x="5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verage_assessment_score" fld="10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92646-C333-43DB-B5DD-C9302D65FCA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2" firstHeaderRow="1" firstDataRow="1" firstDataCol="1"/>
  <pivotFields count="26">
    <pivotField showAll="0"/>
    <pivotField axis="axisRow" showAll="0">
      <items count="10">
        <item x="0"/>
        <item x="6"/>
        <item x="1"/>
        <item x="2"/>
        <item x="3"/>
        <item x="7"/>
        <item x="4"/>
        <item x="5"/>
        <item h="1"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ttendance_percentage" fld="4" subtotal="average" baseField="1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FDF4F-6C69-46D7-B0D4-52CFD6318F12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</pivotFields>
  <rowFields count="1">
    <field x="25"/>
  </rowFields>
  <rowItems count="3">
    <i>
      <x/>
    </i>
    <i>
      <x v="1"/>
    </i>
    <i t="grand">
      <x/>
    </i>
  </rowItems>
  <colItems count="1">
    <i/>
  </colItems>
  <dataFields count="1">
    <dataField name="Count of student_id" fld="0" subtotal="count" baseField="2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54DF9-0172-4242-A774-1106ECFF1EDD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26">
    <pivotField showAll="0"/>
    <pivotField axis="axisRow" showAll="0">
      <items count="10">
        <item x="0"/>
        <item x="6"/>
        <item x="1"/>
        <item x="2"/>
        <item x="3"/>
        <item x="7"/>
        <item x="4"/>
        <item x="5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submissions" fld="15" subtotal="average" baseField="1" baseItem="0" numFmtId="168"/>
  </dataFields>
  <formats count="2">
    <format dxfId="3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0F4A6-5581-44FA-820F-1C4EB2FF60FE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4" firstHeaderRow="0" firstDataRow="1" firstDataCol="0"/>
  <pivotFields count="26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quiz" fld="6" subtotal="average" baseField="0" baseItem="1"/>
    <dataField name="Average of lab" fld="9" subtotal="average" baseField="0" baseItem="1"/>
    <dataField name="Average of assignment" fld="7" subtotal="average" baseField="0" baseItem="1"/>
    <dataField name="Average of test" fld="8" subtotal="average" baseField="0" baseItem="1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500A-FD5D-4F2A-A442-B50669BCC0D3}">
  <dimension ref="A1:I20"/>
  <sheetViews>
    <sheetView tabSelected="1" workbookViewId="0">
      <selection activeCell="A3" sqref="A3"/>
    </sheetView>
  </sheetViews>
  <sheetFormatPr defaultRowHeight="14.4" x14ac:dyDescent="0.3"/>
  <cols>
    <col min="1" max="1" width="25.6640625" bestFit="1" customWidth="1"/>
  </cols>
  <sheetData>
    <row r="1" spans="1:9" x14ac:dyDescent="0.3">
      <c r="A1" s="14" t="s">
        <v>237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5"/>
      <c r="B2" s="5"/>
      <c r="C2" s="5"/>
      <c r="D2" s="5"/>
      <c r="E2" s="5"/>
      <c r="F2" s="5"/>
      <c r="G2" s="5"/>
      <c r="H2" s="5"/>
      <c r="I2" s="5"/>
    </row>
    <row r="3" spans="1:9" x14ac:dyDescent="0.3">
      <c r="A3" s="15"/>
      <c r="B3" s="17"/>
    </row>
    <row r="4" spans="1:9" x14ac:dyDescent="0.3">
      <c r="A4" s="15"/>
    </row>
    <row r="5" spans="1:9" x14ac:dyDescent="0.3">
      <c r="A5" s="15"/>
      <c r="B5" s="15"/>
    </row>
    <row r="6" spans="1:9" x14ac:dyDescent="0.3">
      <c r="A6" s="15"/>
      <c r="B6" s="15"/>
    </row>
    <row r="7" spans="1:9" x14ac:dyDescent="0.3">
      <c r="A7" s="15"/>
      <c r="B7" s="15"/>
    </row>
    <row r="8" spans="1:9" x14ac:dyDescent="0.3">
      <c r="A8" s="15"/>
      <c r="B8" s="15"/>
    </row>
    <row r="9" spans="1:9" x14ac:dyDescent="0.3">
      <c r="A9" s="16"/>
      <c r="B9" s="16"/>
    </row>
    <row r="15" spans="1:9" x14ac:dyDescent="0.3">
      <c r="A15" s="7" t="s">
        <v>198</v>
      </c>
      <c r="B15" s="7" t="s">
        <v>199</v>
      </c>
    </row>
    <row r="16" spans="1:9" x14ac:dyDescent="0.3">
      <c r="A16" s="6" t="s">
        <v>210</v>
      </c>
      <c r="B16" s="6">
        <f>COUNTA(Cleaned_Data!A:A)-1</f>
        <v>578</v>
      </c>
    </row>
    <row r="17" spans="1:2" x14ac:dyDescent="0.3">
      <c r="A17" s="6" t="s">
        <v>212</v>
      </c>
      <c r="B17" s="6" cm="1">
        <f t="array" ref="B17">SUMPRODUCT((Cleaned_Data!A14:A1012&lt;&gt;"")/COUNTIF(Cleaned_Data!A14:A1012,Cleaned_Data!A14:A1012&amp;""))</f>
        <v>118.00000000000074</v>
      </c>
    </row>
    <row r="18" spans="1:2" x14ac:dyDescent="0.3">
      <c r="A18" s="6" t="s">
        <v>213</v>
      </c>
      <c r="B18" s="6">
        <f>COUNTA(Course_Analysis!A:A)-1</f>
        <v>8</v>
      </c>
    </row>
    <row r="19" spans="1:2" x14ac:dyDescent="0.3">
      <c r="A19" s="6" t="s">
        <v>214</v>
      </c>
      <c r="B19" s="6">
        <f>AVERAGE(Cleaned_Data!O14:O1012)</f>
        <v>16.947747747747748</v>
      </c>
    </row>
    <row r="20" spans="1:2" x14ac:dyDescent="0.3">
      <c r="A20" s="6" t="s">
        <v>211</v>
      </c>
      <c r="B20" s="6">
        <f>AVERAGE(Cleaned_Data!I14:I1012)</f>
        <v>62.259346642468259</v>
      </c>
    </row>
  </sheetData>
  <mergeCells count="1">
    <mergeCell ref="A1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10AF-46AC-4E0E-95DB-73F8861D184B}">
  <dimension ref="A3:B12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33.88671875" bestFit="1" customWidth="1"/>
  </cols>
  <sheetData>
    <row r="3" spans="1:2" x14ac:dyDescent="0.3">
      <c r="A3" s="2" t="s">
        <v>201</v>
      </c>
      <c r="B3" t="s">
        <v>203</v>
      </c>
    </row>
    <row r="4" spans="1:2" x14ac:dyDescent="0.3">
      <c r="A4" s="3" t="s">
        <v>27</v>
      </c>
      <c r="B4" s="4">
        <v>68.75080321285138</v>
      </c>
    </row>
    <row r="5" spans="1:2" x14ac:dyDescent="0.3">
      <c r="A5" s="3" t="s">
        <v>51</v>
      </c>
      <c r="B5" s="4">
        <v>64.644178082191786</v>
      </c>
    </row>
    <row r="6" spans="1:2" x14ac:dyDescent="0.3">
      <c r="A6" s="3" t="s">
        <v>34</v>
      </c>
      <c r="B6" s="4">
        <v>64.777111111111111</v>
      </c>
    </row>
    <row r="7" spans="1:2" x14ac:dyDescent="0.3">
      <c r="A7" s="3" t="s">
        <v>38</v>
      </c>
      <c r="B7" s="4">
        <v>67.109661835748781</v>
      </c>
    </row>
    <row r="8" spans="1:2" x14ac:dyDescent="0.3">
      <c r="A8" s="3" t="s">
        <v>40</v>
      </c>
      <c r="B8" s="4">
        <v>66.578690476190474</v>
      </c>
    </row>
    <row r="9" spans="1:2" x14ac:dyDescent="0.3">
      <c r="A9" s="3" t="s">
        <v>57</v>
      </c>
      <c r="B9" s="4">
        <v>67.528260869565202</v>
      </c>
    </row>
    <row r="10" spans="1:2" x14ac:dyDescent="0.3">
      <c r="A10" s="3" t="s">
        <v>42</v>
      </c>
      <c r="B10" s="4">
        <v>65.099086757990861</v>
      </c>
    </row>
    <row r="11" spans="1:2" x14ac:dyDescent="0.3">
      <c r="A11" s="3" t="s">
        <v>45</v>
      </c>
      <c r="B11" s="4">
        <v>65.013717948717968</v>
      </c>
    </row>
    <row r="12" spans="1:2" x14ac:dyDescent="0.3">
      <c r="A12" s="3" t="s">
        <v>202</v>
      </c>
      <c r="B12" s="4">
        <v>66.225779896013904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1FDC-4F1F-4A6D-A89A-A62FBCC379EC}">
  <dimension ref="A3:B12"/>
  <sheetViews>
    <sheetView workbookViewId="0">
      <selection activeCell="M16" sqref="M16"/>
    </sheetView>
  </sheetViews>
  <sheetFormatPr defaultRowHeight="14.4" x14ac:dyDescent="0.3"/>
  <cols>
    <col min="1" max="1" width="12.5546875" bestFit="1" customWidth="1"/>
    <col min="2" max="2" width="31.109375" bestFit="1" customWidth="1"/>
  </cols>
  <sheetData>
    <row r="3" spans="1:2" x14ac:dyDescent="0.3">
      <c r="A3" s="2" t="s">
        <v>201</v>
      </c>
      <c r="B3" t="s">
        <v>204</v>
      </c>
    </row>
    <row r="4" spans="1:2" x14ac:dyDescent="0.3">
      <c r="A4" s="3" t="s">
        <v>27</v>
      </c>
      <c r="B4" s="4">
        <v>61.345812927882641</v>
      </c>
    </row>
    <row r="5" spans="1:2" x14ac:dyDescent="0.3">
      <c r="A5" s="3" t="s">
        <v>51</v>
      </c>
      <c r="B5" s="4">
        <v>60.741950426639512</v>
      </c>
    </row>
    <row r="6" spans="1:2" x14ac:dyDescent="0.3">
      <c r="A6" s="3" t="s">
        <v>34</v>
      </c>
      <c r="B6" s="4">
        <v>62.371057502814153</v>
      </c>
    </row>
    <row r="7" spans="1:2" x14ac:dyDescent="0.3">
      <c r="A7" s="3" t="s">
        <v>38</v>
      </c>
      <c r="B7" s="4">
        <v>59.257982192148688</v>
      </c>
    </row>
    <row r="8" spans="1:2" x14ac:dyDescent="0.3">
      <c r="A8" s="3" t="s">
        <v>40</v>
      </c>
      <c r="B8" s="4">
        <v>60.395077320784559</v>
      </c>
    </row>
    <row r="9" spans="1:2" x14ac:dyDescent="0.3">
      <c r="A9" s="3" t="s">
        <v>57</v>
      </c>
      <c r="B9" s="4">
        <v>62.719315327826592</v>
      </c>
    </row>
    <row r="10" spans="1:2" x14ac:dyDescent="0.3">
      <c r="A10" s="3" t="s">
        <v>42</v>
      </c>
      <c r="B10" s="4">
        <v>62.078185402657006</v>
      </c>
    </row>
    <row r="11" spans="1:2" x14ac:dyDescent="0.3">
      <c r="A11" s="3" t="s">
        <v>45</v>
      </c>
      <c r="B11" s="4">
        <v>61.771042930469676</v>
      </c>
    </row>
    <row r="12" spans="1:2" x14ac:dyDescent="0.3">
      <c r="A12" s="3" t="s">
        <v>202</v>
      </c>
      <c r="B12" s="4">
        <v>61.344255174014712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FB34-125C-4EF9-A253-BAE316ACABF0}">
  <dimension ref="A3:B6"/>
  <sheetViews>
    <sheetView workbookViewId="0">
      <selection activeCell="I5" sqref="I5"/>
    </sheetView>
  </sheetViews>
  <sheetFormatPr defaultRowHeight="14.4" x14ac:dyDescent="0.3"/>
  <cols>
    <col min="1" max="1" width="16.6640625" bestFit="1" customWidth="1"/>
    <col min="2" max="2" width="18" bestFit="1" customWidth="1"/>
  </cols>
  <sheetData>
    <row r="3" spans="1:2" x14ac:dyDescent="0.3">
      <c r="A3" s="2" t="s">
        <v>201</v>
      </c>
      <c r="B3" t="s">
        <v>209</v>
      </c>
    </row>
    <row r="4" spans="1:2" x14ac:dyDescent="0.3">
      <c r="A4" s="3" t="s">
        <v>33</v>
      </c>
      <c r="B4" s="4">
        <v>181</v>
      </c>
    </row>
    <row r="5" spans="1:2" x14ac:dyDescent="0.3">
      <c r="A5" s="3" t="s">
        <v>37</v>
      </c>
      <c r="B5" s="4">
        <v>397</v>
      </c>
    </row>
    <row r="6" spans="1:2" x14ac:dyDescent="0.3">
      <c r="A6" s="3" t="s">
        <v>202</v>
      </c>
      <c r="B6" s="4">
        <v>578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1619-8FEB-42CC-B22C-CA1D756E0F1C}">
  <dimension ref="A3:B12"/>
  <sheetViews>
    <sheetView workbookViewId="0">
      <selection activeCell="C20" sqref="C20"/>
    </sheetView>
  </sheetViews>
  <sheetFormatPr defaultRowHeight="14.4" x14ac:dyDescent="0.3"/>
  <cols>
    <col min="1" max="1" width="12.5546875" bestFit="1" customWidth="1"/>
    <col min="2" max="2" width="20.88671875" bestFit="1" customWidth="1"/>
  </cols>
  <sheetData>
    <row r="3" spans="1:2" x14ac:dyDescent="0.3">
      <c r="A3" s="2" t="s">
        <v>201</v>
      </c>
      <c r="B3" s="8" t="s">
        <v>215</v>
      </c>
    </row>
    <row r="4" spans="1:2" x14ac:dyDescent="0.3">
      <c r="A4" s="3" t="s">
        <v>27</v>
      </c>
      <c r="B4" s="8">
        <v>9.2530120481927707</v>
      </c>
    </row>
    <row r="5" spans="1:2" x14ac:dyDescent="0.3">
      <c r="A5" s="3" t="s">
        <v>51</v>
      </c>
      <c r="B5" s="8">
        <v>9</v>
      </c>
    </row>
    <row r="6" spans="1:2" x14ac:dyDescent="0.3">
      <c r="A6" s="3" t="s">
        <v>34</v>
      </c>
      <c r="B6" s="8">
        <v>8.5526315789473681</v>
      </c>
    </row>
    <row r="7" spans="1:2" x14ac:dyDescent="0.3">
      <c r="A7" s="3" t="s">
        <v>38</v>
      </c>
      <c r="B7" s="8">
        <v>8.5362318840579707</v>
      </c>
    </row>
    <row r="8" spans="1:2" x14ac:dyDescent="0.3">
      <c r="A8" s="3" t="s">
        <v>40</v>
      </c>
      <c r="B8" s="8">
        <v>8.9420289855072461</v>
      </c>
    </row>
    <row r="9" spans="1:2" x14ac:dyDescent="0.3">
      <c r="A9" s="3" t="s">
        <v>57</v>
      </c>
      <c r="B9" s="8">
        <v>8.2463768115942031</v>
      </c>
    </row>
    <row r="10" spans="1:2" x14ac:dyDescent="0.3">
      <c r="A10" s="3" t="s">
        <v>42</v>
      </c>
      <c r="B10" s="8">
        <v>8.6712328767123292</v>
      </c>
    </row>
    <row r="11" spans="1:2" x14ac:dyDescent="0.3">
      <c r="A11" s="3" t="s">
        <v>45</v>
      </c>
      <c r="B11" s="8">
        <v>8.953846153846154</v>
      </c>
    </row>
    <row r="12" spans="1:2" x14ac:dyDescent="0.3">
      <c r="A12" s="3" t="s">
        <v>202</v>
      </c>
      <c r="B12" s="8">
        <v>8.7781629116117852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AB1C-39F8-47BE-B641-602DC61EA8B9}">
  <dimension ref="A3:D4"/>
  <sheetViews>
    <sheetView workbookViewId="0">
      <selection activeCell="N8" sqref="N8"/>
    </sheetView>
  </sheetViews>
  <sheetFormatPr defaultRowHeight="14.4" x14ac:dyDescent="0.3"/>
  <cols>
    <col min="1" max="1" width="14.109375" bestFit="1" customWidth="1"/>
    <col min="2" max="2" width="13.21875" bestFit="1" customWidth="1"/>
    <col min="3" max="3" width="20.33203125" bestFit="1" customWidth="1"/>
    <col min="4" max="4" width="13.77734375" bestFit="1" customWidth="1"/>
  </cols>
  <sheetData>
    <row r="3" spans="1:4" x14ac:dyDescent="0.3">
      <c r="A3" t="s">
        <v>205</v>
      </c>
      <c r="B3" t="s">
        <v>206</v>
      </c>
      <c r="C3" t="s">
        <v>207</v>
      </c>
      <c r="D3" t="s">
        <v>208</v>
      </c>
    </row>
    <row r="4" spans="1:4" x14ac:dyDescent="0.3">
      <c r="A4" s="4">
        <v>64.239679715302515</v>
      </c>
      <c r="B4" s="4">
        <v>69.981850533807773</v>
      </c>
      <c r="C4" s="4">
        <v>68.425577264653683</v>
      </c>
      <c r="D4" s="4">
        <v>62.134875444839878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1B2E-839E-4122-9AEB-91BEC56F36E6}">
  <dimension ref="A1:C8"/>
  <sheetViews>
    <sheetView topLeftCell="AC1" workbookViewId="0">
      <selection activeCell="B7" sqref="B7"/>
    </sheetView>
  </sheetViews>
  <sheetFormatPr defaultRowHeight="14.4" x14ac:dyDescent="0.3"/>
  <cols>
    <col min="1" max="1" width="14.109375" customWidth="1"/>
    <col min="2" max="2" width="46.33203125" customWidth="1"/>
    <col min="3" max="3" width="43.77734375" customWidth="1"/>
  </cols>
  <sheetData>
    <row r="1" spans="1:3" x14ac:dyDescent="0.3">
      <c r="A1" s="9"/>
      <c r="B1" s="10"/>
      <c r="C1" s="10"/>
    </row>
    <row r="2" spans="1:3" ht="22.8" x14ac:dyDescent="0.3">
      <c r="A2" s="13" t="s">
        <v>217</v>
      </c>
      <c r="B2" s="11" t="s">
        <v>218</v>
      </c>
      <c r="C2" s="11" t="s">
        <v>216</v>
      </c>
    </row>
    <row r="3" spans="1:3" ht="102.6" x14ac:dyDescent="0.3">
      <c r="A3" s="12" t="s">
        <v>219</v>
      </c>
      <c r="B3" s="12" t="s">
        <v>220</v>
      </c>
      <c r="C3" s="12" t="s">
        <v>221</v>
      </c>
    </row>
    <row r="4" spans="1:3" ht="68.400000000000006" x14ac:dyDescent="0.3">
      <c r="A4" s="12" t="s">
        <v>222</v>
      </c>
      <c r="B4" s="12" t="s">
        <v>223</v>
      </c>
      <c r="C4" s="12" t="s">
        <v>224</v>
      </c>
    </row>
    <row r="5" spans="1:3" ht="57" x14ac:dyDescent="0.3">
      <c r="A5" s="12" t="s">
        <v>225</v>
      </c>
      <c r="B5" s="12" t="s">
        <v>226</v>
      </c>
      <c r="C5" s="12" t="s">
        <v>227</v>
      </c>
    </row>
    <row r="6" spans="1:3" ht="102.6" x14ac:dyDescent="0.3">
      <c r="A6" s="12" t="s">
        <v>228</v>
      </c>
      <c r="B6" s="12" t="s">
        <v>229</v>
      </c>
      <c r="C6" s="12" t="s">
        <v>230</v>
      </c>
    </row>
    <row r="7" spans="1:3" ht="79.8" x14ac:dyDescent="0.3">
      <c r="A7" s="12" t="s">
        <v>231</v>
      </c>
      <c r="B7" s="12" t="s">
        <v>232</v>
      </c>
      <c r="C7" s="12" t="s">
        <v>233</v>
      </c>
    </row>
    <row r="8" spans="1:3" ht="91.2" x14ac:dyDescent="0.3">
      <c r="A8" s="12" t="s">
        <v>234</v>
      </c>
      <c r="B8" s="12" t="s">
        <v>235</v>
      </c>
      <c r="C8" s="12" t="s">
        <v>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0"/>
  <sheetViews>
    <sheetView topLeftCell="S1" workbookViewId="0">
      <pane ySplit="1" topLeftCell="A554" activePane="bottomLeft" state="frozen"/>
      <selection pane="bottomLeft" activeCell="C5" sqref="C5"/>
    </sheetView>
  </sheetViews>
  <sheetFormatPr defaultRowHeight="14.4" x14ac:dyDescent="0.3"/>
  <cols>
    <col min="1" max="1" width="13" customWidth="1"/>
    <col min="2" max="2" width="14" customWidth="1"/>
    <col min="3" max="3" width="16" customWidth="1"/>
    <col min="4" max="4" width="20" customWidth="1"/>
    <col min="5" max="5" width="24" customWidth="1"/>
    <col min="6" max="6" width="19" customWidth="1"/>
    <col min="7" max="7" width="7" customWidth="1"/>
    <col min="8" max="8" width="13" customWidth="1"/>
    <col min="9" max="10" width="7" customWidth="1"/>
    <col min="11" max="11" width="27" customWidth="1"/>
    <col min="12" max="12" width="12" customWidth="1"/>
    <col min="13" max="13" width="11" customWidth="1"/>
    <col min="14" max="14" width="20" customWidth="1"/>
    <col min="15" max="15" width="13" customWidth="1"/>
    <col min="16" max="16" width="14" customWidth="1"/>
    <col min="17" max="17" width="11" customWidth="1"/>
    <col min="18" max="18" width="14" customWidth="1"/>
    <col min="19" max="19" width="10" customWidth="1"/>
    <col min="20" max="20" width="12" customWidth="1"/>
    <col min="21" max="21" width="20" customWidth="1"/>
    <col min="22" max="23" width="22" customWidth="1"/>
    <col min="24" max="24" width="27" customWidth="1"/>
    <col min="25" max="25" width="20" customWidth="1"/>
    <col min="26" max="26" width="21" customWidth="1"/>
  </cols>
  <sheetData>
    <row r="1" spans="1:2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>
        <v>27</v>
      </c>
      <c r="D2">
        <v>20</v>
      </c>
      <c r="E2">
        <v>74.074074074074076</v>
      </c>
      <c r="F2" t="b">
        <v>1</v>
      </c>
      <c r="G2">
        <v>61.3</v>
      </c>
      <c r="H2">
        <v>66.2</v>
      </c>
      <c r="I2">
        <v>44.4</v>
      </c>
      <c r="J2">
        <v>64.2</v>
      </c>
      <c r="K2">
        <v>59.025000000000013</v>
      </c>
      <c r="L2" t="s">
        <v>28</v>
      </c>
      <c r="M2">
        <v>5</v>
      </c>
      <c r="N2" t="s">
        <v>29</v>
      </c>
      <c r="O2">
        <v>17</v>
      </c>
      <c r="P2">
        <v>9</v>
      </c>
      <c r="Q2">
        <v>60</v>
      </c>
      <c r="R2" t="s">
        <v>30</v>
      </c>
      <c r="S2">
        <v>4</v>
      </c>
      <c r="T2" t="s">
        <v>31</v>
      </c>
      <c r="U2" t="s">
        <v>32</v>
      </c>
      <c r="V2">
        <v>1</v>
      </c>
      <c r="W2">
        <v>0</v>
      </c>
      <c r="X2">
        <v>0</v>
      </c>
      <c r="Y2">
        <v>9</v>
      </c>
      <c r="Z2" t="s">
        <v>33</v>
      </c>
    </row>
    <row r="3" spans="1:26" x14ac:dyDescent="0.3">
      <c r="A3" t="s">
        <v>26</v>
      </c>
      <c r="B3" t="s">
        <v>34</v>
      </c>
      <c r="C3" t="s">
        <v>200</v>
      </c>
      <c r="D3">
        <v>24</v>
      </c>
      <c r="E3">
        <v>63.157894736842103</v>
      </c>
      <c r="F3" t="b">
        <v>1</v>
      </c>
      <c r="G3">
        <v>56.7</v>
      </c>
      <c r="H3">
        <v>71.599999999999994</v>
      </c>
      <c r="I3">
        <v>55.7</v>
      </c>
      <c r="J3">
        <v>67.400000000000006</v>
      </c>
      <c r="K3">
        <v>62.85</v>
      </c>
      <c r="L3" t="s">
        <v>28</v>
      </c>
      <c r="M3">
        <v>5</v>
      </c>
      <c r="N3" t="s">
        <v>29</v>
      </c>
      <c r="O3">
        <v>21</v>
      </c>
      <c r="P3">
        <v>4</v>
      </c>
      <c r="Q3">
        <v>46</v>
      </c>
      <c r="R3" t="s">
        <v>35</v>
      </c>
      <c r="S3">
        <v>2</v>
      </c>
      <c r="T3" t="s">
        <v>31</v>
      </c>
      <c r="U3" t="s">
        <v>36</v>
      </c>
      <c r="V3">
        <v>1</v>
      </c>
      <c r="W3">
        <v>0</v>
      </c>
      <c r="X3">
        <v>0</v>
      </c>
      <c r="Y3">
        <v>4</v>
      </c>
      <c r="Z3" t="s">
        <v>37</v>
      </c>
    </row>
    <row r="4" spans="1:26" x14ac:dyDescent="0.3">
      <c r="A4" t="s">
        <v>26</v>
      </c>
      <c r="B4" t="s">
        <v>38</v>
      </c>
      <c r="C4">
        <v>36</v>
      </c>
      <c r="D4">
        <v>27</v>
      </c>
      <c r="E4">
        <v>38.888888888888893</v>
      </c>
      <c r="F4" t="b">
        <v>1</v>
      </c>
      <c r="G4">
        <v>31.8</v>
      </c>
      <c r="H4">
        <v>48.1</v>
      </c>
      <c r="J4">
        <v>62.8</v>
      </c>
      <c r="K4">
        <v>47.566666666666663</v>
      </c>
      <c r="L4" t="s">
        <v>28</v>
      </c>
      <c r="M4">
        <v>5</v>
      </c>
      <c r="N4" t="s">
        <v>29</v>
      </c>
      <c r="O4">
        <v>17</v>
      </c>
      <c r="P4">
        <v>6</v>
      </c>
      <c r="Q4">
        <v>30</v>
      </c>
      <c r="R4" t="s">
        <v>30</v>
      </c>
      <c r="S4">
        <v>3</v>
      </c>
      <c r="T4" t="s">
        <v>39</v>
      </c>
      <c r="U4" t="s">
        <v>32</v>
      </c>
      <c r="V4">
        <v>1</v>
      </c>
      <c r="W4">
        <v>0</v>
      </c>
      <c r="X4">
        <v>1</v>
      </c>
      <c r="Y4">
        <v>6</v>
      </c>
      <c r="Z4" t="s">
        <v>33</v>
      </c>
    </row>
    <row r="5" spans="1:26" x14ac:dyDescent="0.3">
      <c r="A5" t="s">
        <v>26</v>
      </c>
      <c r="B5" t="s">
        <v>40</v>
      </c>
      <c r="C5">
        <v>24</v>
      </c>
      <c r="D5">
        <v>14</v>
      </c>
      <c r="E5">
        <v>54.166666666666657</v>
      </c>
      <c r="F5" t="b">
        <v>1</v>
      </c>
      <c r="G5">
        <v>68</v>
      </c>
      <c r="H5">
        <v>66</v>
      </c>
      <c r="I5">
        <v>68.3</v>
      </c>
      <c r="J5">
        <v>68.7</v>
      </c>
      <c r="K5">
        <v>67.75</v>
      </c>
      <c r="L5" t="s">
        <v>28</v>
      </c>
      <c r="M5">
        <v>5</v>
      </c>
      <c r="N5" t="s">
        <v>29</v>
      </c>
      <c r="O5">
        <v>19</v>
      </c>
      <c r="P5">
        <v>7</v>
      </c>
      <c r="Q5">
        <v>53</v>
      </c>
      <c r="R5" t="s">
        <v>30</v>
      </c>
      <c r="S5">
        <v>3</v>
      </c>
      <c r="T5" t="s">
        <v>41</v>
      </c>
      <c r="U5" t="s">
        <v>36</v>
      </c>
      <c r="V5">
        <v>1</v>
      </c>
      <c r="W5">
        <v>0</v>
      </c>
      <c r="X5">
        <v>0</v>
      </c>
      <c r="Y5">
        <v>7</v>
      </c>
      <c r="Z5" t="s">
        <v>37</v>
      </c>
    </row>
    <row r="6" spans="1:26" x14ac:dyDescent="0.3">
      <c r="A6" t="s">
        <v>26</v>
      </c>
      <c r="B6" t="s">
        <v>42</v>
      </c>
      <c r="C6">
        <v>35</v>
      </c>
      <c r="D6">
        <v>13</v>
      </c>
      <c r="E6">
        <v>45.714285714285722</v>
      </c>
      <c r="F6" t="b">
        <v>1</v>
      </c>
      <c r="G6">
        <v>74.5</v>
      </c>
      <c r="H6">
        <v>54.3</v>
      </c>
      <c r="I6">
        <v>43.2</v>
      </c>
      <c r="J6">
        <v>65.5</v>
      </c>
      <c r="K6">
        <v>59.375</v>
      </c>
      <c r="L6" t="s">
        <v>28</v>
      </c>
      <c r="M6">
        <v>5</v>
      </c>
      <c r="N6" t="s">
        <v>29</v>
      </c>
      <c r="O6">
        <v>20</v>
      </c>
      <c r="P6">
        <v>8</v>
      </c>
      <c r="Q6">
        <v>68</v>
      </c>
      <c r="R6" t="s">
        <v>43</v>
      </c>
      <c r="S6">
        <v>3</v>
      </c>
      <c r="T6" t="s">
        <v>44</v>
      </c>
      <c r="U6" t="s">
        <v>32</v>
      </c>
      <c r="V6">
        <v>1</v>
      </c>
      <c r="W6">
        <v>0</v>
      </c>
      <c r="X6">
        <v>0</v>
      </c>
      <c r="Y6">
        <v>8</v>
      </c>
      <c r="Z6" t="s">
        <v>33</v>
      </c>
    </row>
    <row r="7" spans="1:26" x14ac:dyDescent="0.3">
      <c r="A7" t="s">
        <v>26</v>
      </c>
      <c r="B7" t="s">
        <v>45</v>
      </c>
      <c r="C7">
        <v>24</v>
      </c>
      <c r="D7">
        <v>16</v>
      </c>
      <c r="E7">
        <v>70.833333333333343</v>
      </c>
      <c r="F7" t="b">
        <v>1</v>
      </c>
      <c r="G7">
        <v>88</v>
      </c>
      <c r="H7">
        <v>63</v>
      </c>
      <c r="I7">
        <v>30</v>
      </c>
      <c r="J7">
        <v>81.5</v>
      </c>
      <c r="K7">
        <v>65.625</v>
      </c>
      <c r="L7" t="s">
        <v>28</v>
      </c>
      <c r="M7">
        <v>5</v>
      </c>
      <c r="N7" t="s">
        <v>29</v>
      </c>
      <c r="O7">
        <v>15</v>
      </c>
      <c r="P7">
        <v>9</v>
      </c>
      <c r="Q7">
        <v>59</v>
      </c>
      <c r="R7" t="s">
        <v>46</v>
      </c>
      <c r="S7">
        <v>4</v>
      </c>
      <c r="T7" t="s">
        <v>47</v>
      </c>
      <c r="U7" t="s">
        <v>36</v>
      </c>
      <c r="V7">
        <v>1</v>
      </c>
      <c r="W7">
        <v>0</v>
      </c>
      <c r="X7">
        <v>0</v>
      </c>
      <c r="Y7">
        <v>9</v>
      </c>
      <c r="Z7" t="s">
        <v>37</v>
      </c>
    </row>
    <row r="8" spans="1:26" x14ac:dyDescent="0.3">
      <c r="A8" t="s">
        <v>48</v>
      </c>
      <c r="B8" t="s">
        <v>27</v>
      </c>
      <c r="C8">
        <v>30</v>
      </c>
      <c r="D8">
        <v>17</v>
      </c>
      <c r="E8">
        <v>46.666666666666657</v>
      </c>
      <c r="F8" t="b">
        <v>1</v>
      </c>
      <c r="G8">
        <v>30.2</v>
      </c>
      <c r="H8">
        <v>41.5</v>
      </c>
      <c r="I8">
        <v>47.1</v>
      </c>
      <c r="J8">
        <v>48.4</v>
      </c>
      <c r="K8">
        <v>41.8</v>
      </c>
      <c r="L8" t="s">
        <v>49</v>
      </c>
      <c r="M8">
        <v>5</v>
      </c>
      <c r="N8" t="s">
        <v>50</v>
      </c>
      <c r="O8">
        <v>17</v>
      </c>
      <c r="P8">
        <v>8</v>
      </c>
      <c r="Q8">
        <v>62</v>
      </c>
      <c r="R8" t="s">
        <v>30</v>
      </c>
      <c r="S8">
        <v>4</v>
      </c>
      <c r="T8" t="s">
        <v>31</v>
      </c>
      <c r="U8" t="s">
        <v>32</v>
      </c>
      <c r="V8">
        <v>1</v>
      </c>
      <c r="W8">
        <v>0</v>
      </c>
      <c r="X8">
        <v>0</v>
      </c>
      <c r="Y8">
        <v>8</v>
      </c>
      <c r="Z8" t="s">
        <v>33</v>
      </c>
    </row>
    <row r="9" spans="1:26" x14ac:dyDescent="0.3">
      <c r="A9" t="s">
        <v>48</v>
      </c>
      <c r="B9" t="s">
        <v>51</v>
      </c>
      <c r="C9">
        <v>37</v>
      </c>
      <c r="D9">
        <v>14</v>
      </c>
      <c r="E9">
        <v>51.351351351351347</v>
      </c>
      <c r="F9" t="b">
        <v>1</v>
      </c>
      <c r="G9">
        <v>70.400000000000006</v>
      </c>
      <c r="H9">
        <v>40.9</v>
      </c>
      <c r="I9">
        <v>53.2</v>
      </c>
      <c r="J9">
        <v>47.4</v>
      </c>
      <c r="K9">
        <v>52.975000000000001</v>
      </c>
      <c r="L9" t="s">
        <v>49</v>
      </c>
      <c r="M9">
        <v>5</v>
      </c>
      <c r="N9" t="s">
        <v>50</v>
      </c>
      <c r="O9">
        <v>18</v>
      </c>
      <c r="P9">
        <v>7</v>
      </c>
      <c r="Q9">
        <v>36</v>
      </c>
      <c r="R9" t="s">
        <v>30</v>
      </c>
      <c r="S9">
        <v>3</v>
      </c>
      <c r="T9" t="s">
        <v>52</v>
      </c>
      <c r="U9" t="s">
        <v>32</v>
      </c>
      <c r="V9">
        <v>1</v>
      </c>
      <c r="W9">
        <v>0</v>
      </c>
      <c r="X9">
        <v>0</v>
      </c>
      <c r="Y9">
        <v>7</v>
      </c>
      <c r="Z9" t="s">
        <v>33</v>
      </c>
    </row>
    <row r="10" spans="1:26" x14ac:dyDescent="0.3">
      <c r="A10" t="s">
        <v>48</v>
      </c>
      <c r="B10" t="s">
        <v>34</v>
      </c>
      <c r="C10">
        <v>26</v>
      </c>
      <c r="D10">
        <v>19</v>
      </c>
      <c r="E10">
        <v>50</v>
      </c>
      <c r="F10" t="b">
        <v>1</v>
      </c>
      <c r="G10">
        <v>51.2</v>
      </c>
      <c r="H10">
        <v>40</v>
      </c>
      <c r="I10">
        <v>52</v>
      </c>
      <c r="J10">
        <v>48.8</v>
      </c>
      <c r="K10">
        <v>48</v>
      </c>
      <c r="L10" t="s">
        <v>49</v>
      </c>
      <c r="M10">
        <v>5</v>
      </c>
      <c r="N10" t="s">
        <v>50</v>
      </c>
      <c r="O10">
        <v>15</v>
      </c>
      <c r="P10">
        <v>8</v>
      </c>
      <c r="Q10">
        <v>65</v>
      </c>
      <c r="R10" t="s">
        <v>35</v>
      </c>
      <c r="S10">
        <v>2</v>
      </c>
      <c r="T10" t="s">
        <v>31</v>
      </c>
      <c r="U10" t="s">
        <v>32</v>
      </c>
      <c r="V10">
        <v>1</v>
      </c>
      <c r="W10">
        <v>0</v>
      </c>
      <c r="X10">
        <v>0</v>
      </c>
      <c r="Y10">
        <v>8</v>
      </c>
      <c r="Z10" t="s">
        <v>33</v>
      </c>
    </row>
    <row r="11" spans="1:26" x14ac:dyDescent="0.3">
      <c r="A11" t="s">
        <v>48</v>
      </c>
      <c r="B11" t="s">
        <v>45</v>
      </c>
      <c r="C11">
        <v>26</v>
      </c>
      <c r="D11">
        <v>13</v>
      </c>
      <c r="E11">
        <v>69.230769230769226</v>
      </c>
      <c r="F11" t="b">
        <v>1</v>
      </c>
      <c r="G11">
        <v>51.5</v>
      </c>
      <c r="H11">
        <v>70.900000000000006</v>
      </c>
      <c r="I11">
        <v>51.7</v>
      </c>
      <c r="J11">
        <v>51.8</v>
      </c>
      <c r="K11">
        <v>56.475000000000009</v>
      </c>
      <c r="L11" t="s">
        <v>49</v>
      </c>
      <c r="M11">
        <v>5</v>
      </c>
      <c r="N11" t="s">
        <v>50</v>
      </c>
      <c r="O11">
        <v>14</v>
      </c>
      <c r="P11">
        <v>5</v>
      </c>
      <c r="Q11">
        <v>37</v>
      </c>
      <c r="R11" t="s">
        <v>46</v>
      </c>
      <c r="S11">
        <v>4</v>
      </c>
      <c r="T11" t="s">
        <v>47</v>
      </c>
      <c r="U11" t="s">
        <v>32</v>
      </c>
      <c r="V11">
        <v>1</v>
      </c>
      <c r="W11">
        <v>0</v>
      </c>
      <c r="X11">
        <v>0</v>
      </c>
      <c r="Y11">
        <v>5</v>
      </c>
      <c r="Z11" t="s">
        <v>33</v>
      </c>
    </row>
    <row r="12" spans="1:26" x14ac:dyDescent="0.3">
      <c r="A12" t="s">
        <v>53</v>
      </c>
      <c r="B12" t="s">
        <v>27</v>
      </c>
      <c r="C12">
        <v>40</v>
      </c>
      <c r="D12">
        <v>18</v>
      </c>
      <c r="E12">
        <v>62.5</v>
      </c>
      <c r="F12" t="b">
        <v>1</v>
      </c>
      <c r="G12">
        <v>59.2</v>
      </c>
      <c r="H12">
        <v>77.900000000000006</v>
      </c>
      <c r="I12">
        <v>75.599999999999994</v>
      </c>
      <c r="J12">
        <v>88.4</v>
      </c>
      <c r="K12">
        <v>75.275000000000006</v>
      </c>
      <c r="L12" t="s">
        <v>54</v>
      </c>
      <c r="M12">
        <v>3</v>
      </c>
      <c r="N12" t="s">
        <v>55</v>
      </c>
      <c r="O12">
        <v>29</v>
      </c>
      <c r="P12">
        <v>12</v>
      </c>
      <c r="Q12">
        <v>64</v>
      </c>
      <c r="R12" t="s">
        <v>30</v>
      </c>
      <c r="S12">
        <v>4</v>
      </c>
      <c r="T12" t="s">
        <v>31</v>
      </c>
      <c r="U12" t="s">
        <v>56</v>
      </c>
      <c r="V12">
        <v>1</v>
      </c>
      <c r="W12">
        <v>0</v>
      </c>
      <c r="X12">
        <v>0</v>
      </c>
      <c r="Y12">
        <v>12</v>
      </c>
      <c r="Z12" t="s">
        <v>37</v>
      </c>
    </row>
    <row r="13" spans="1:26" x14ac:dyDescent="0.3">
      <c r="A13" t="s">
        <v>53</v>
      </c>
      <c r="B13" t="s">
        <v>51</v>
      </c>
      <c r="C13">
        <v>38</v>
      </c>
      <c r="D13">
        <v>25</v>
      </c>
      <c r="E13">
        <v>65.789473684210535</v>
      </c>
      <c r="F13" t="b">
        <v>1</v>
      </c>
      <c r="G13">
        <v>75.599999999999994</v>
      </c>
      <c r="I13">
        <v>93.7</v>
      </c>
      <c r="J13">
        <v>100</v>
      </c>
      <c r="K13">
        <v>89.766666666666666</v>
      </c>
      <c r="L13" t="s">
        <v>54</v>
      </c>
      <c r="M13">
        <v>3</v>
      </c>
      <c r="N13" t="s">
        <v>55</v>
      </c>
      <c r="O13">
        <v>24</v>
      </c>
      <c r="P13">
        <v>11</v>
      </c>
      <c r="Q13">
        <v>69</v>
      </c>
      <c r="R13" t="s">
        <v>30</v>
      </c>
      <c r="S13">
        <v>3</v>
      </c>
      <c r="T13" t="s">
        <v>52</v>
      </c>
      <c r="U13" t="s">
        <v>56</v>
      </c>
      <c r="V13">
        <v>1</v>
      </c>
      <c r="W13">
        <v>0</v>
      </c>
      <c r="X13">
        <v>1</v>
      </c>
      <c r="Y13">
        <v>11</v>
      </c>
      <c r="Z13" t="s">
        <v>37</v>
      </c>
    </row>
    <row r="14" spans="1:26" x14ac:dyDescent="0.3">
      <c r="A14" t="s">
        <v>53</v>
      </c>
      <c r="B14" t="s">
        <v>34</v>
      </c>
      <c r="C14">
        <v>31</v>
      </c>
      <c r="D14">
        <v>25</v>
      </c>
      <c r="E14">
        <v>54.838709677419352</v>
      </c>
      <c r="F14" t="b">
        <v>1</v>
      </c>
      <c r="G14">
        <v>100</v>
      </c>
      <c r="H14">
        <v>96.6</v>
      </c>
      <c r="I14">
        <v>75.8</v>
      </c>
      <c r="J14">
        <v>79.099999999999994</v>
      </c>
      <c r="K14">
        <v>87.875</v>
      </c>
      <c r="L14" t="s">
        <v>54</v>
      </c>
      <c r="M14">
        <v>3</v>
      </c>
      <c r="N14" t="s">
        <v>55</v>
      </c>
      <c r="O14">
        <v>16</v>
      </c>
      <c r="P14">
        <v>15</v>
      </c>
      <c r="Q14">
        <v>53</v>
      </c>
      <c r="R14" t="s">
        <v>35</v>
      </c>
      <c r="S14">
        <v>2</v>
      </c>
      <c r="T14" t="s">
        <v>31</v>
      </c>
      <c r="U14" t="s">
        <v>56</v>
      </c>
      <c r="V14">
        <v>1</v>
      </c>
      <c r="W14">
        <v>0</v>
      </c>
      <c r="X14">
        <v>0</v>
      </c>
      <c r="Y14">
        <v>15</v>
      </c>
      <c r="Z14" t="s">
        <v>37</v>
      </c>
    </row>
    <row r="15" spans="1:26" x14ac:dyDescent="0.3">
      <c r="A15" t="s">
        <v>53</v>
      </c>
      <c r="B15" t="s">
        <v>38</v>
      </c>
      <c r="C15">
        <v>32</v>
      </c>
      <c r="D15">
        <v>17</v>
      </c>
      <c r="E15">
        <v>78.125</v>
      </c>
      <c r="F15" t="b">
        <v>1</v>
      </c>
      <c r="G15">
        <v>100</v>
      </c>
      <c r="H15">
        <v>100</v>
      </c>
      <c r="I15">
        <v>96.4</v>
      </c>
      <c r="J15">
        <v>100</v>
      </c>
      <c r="K15">
        <v>99.1</v>
      </c>
      <c r="L15" t="s">
        <v>54</v>
      </c>
      <c r="M15">
        <v>3</v>
      </c>
      <c r="N15" t="s">
        <v>55</v>
      </c>
      <c r="O15">
        <v>17</v>
      </c>
      <c r="P15">
        <v>11</v>
      </c>
      <c r="Q15">
        <v>43</v>
      </c>
      <c r="R15" t="s">
        <v>30</v>
      </c>
      <c r="S15">
        <v>3</v>
      </c>
      <c r="T15" t="s">
        <v>39</v>
      </c>
      <c r="U15" t="s">
        <v>56</v>
      </c>
      <c r="V15">
        <v>0</v>
      </c>
      <c r="W15">
        <v>0</v>
      </c>
      <c r="X15">
        <v>0</v>
      </c>
      <c r="Y15">
        <v>11</v>
      </c>
      <c r="Z15" t="s">
        <v>37</v>
      </c>
    </row>
    <row r="16" spans="1:26" x14ac:dyDescent="0.3">
      <c r="A16" t="s">
        <v>53</v>
      </c>
      <c r="B16" t="s">
        <v>57</v>
      </c>
      <c r="C16">
        <v>31</v>
      </c>
      <c r="D16">
        <v>25</v>
      </c>
      <c r="E16">
        <v>77.41935483870968</v>
      </c>
      <c r="F16" t="b">
        <v>1</v>
      </c>
      <c r="G16">
        <v>86.6</v>
      </c>
      <c r="H16">
        <v>96.8</v>
      </c>
      <c r="I16">
        <v>96.6</v>
      </c>
      <c r="J16">
        <v>93.9</v>
      </c>
      <c r="K16">
        <v>93.474999999999994</v>
      </c>
      <c r="L16" t="s">
        <v>54</v>
      </c>
      <c r="M16">
        <v>3</v>
      </c>
      <c r="N16" t="s">
        <v>55</v>
      </c>
      <c r="O16">
        <v>26</v>
      </c>
      <c r="P16">
        <v>8</v>
      </c>
      <c r="Q16">
        <v>67</v>
      </c>
      <c r="R16" t="s">
        <v>30</v>
      </c>
      <c r="S16">
        <v>4</v>
      </c>
      <c r="T16" t="s">
        <v>58</v>
      </c>
      <c r="U16" t="s">
        <v>56</v>
      </c>
      <c r="V16">
        <v>0</v>
      </c>
      <c r="W16">
        <v>0</v>
      </c>
      <c r="X16">
        <v>0</v>
      </c>
      <c r="Y16">
        <v>8</v>
      </c>
      <c r="Z16" t="s">
        <v>37</v>
      </c>
    </row>
    <row r="17" spans="1:26" x14ac:dyDescent="0.3">
      <c r="A17" t="s">
        <v>53</v>
      </c>
      <c r="B17" t="s">
        <v>45</v>
      </c>
      <c r="C17">
        <v>30</v>
      </c>
      <c r="D17">
        <v>24</v>
      </c>
      <c r="E17">
        <v>83.333333333333343</v>
      </c>
      <c r="F17" t="b">
        <v>1</v>
      </c>
      <c r="G17">
        <v>100</v>
      </c>
      <c r="H17">
        <v>99.6</v>
      </c>
      <c r="I17">
        <v>100</v>
      </c>
      <c r="J17">
        <v>100</v>
      </c>
      <c r="K17">
        <v>99.9</v>
      </c>
      <c r="L17" t="s">
        <v>54</v>
      </c>
      <c r="M17">
        <v>3</v>
      </c>
      <c r="N17" t="s">
        <v>55</v>
      </c>
      <c r="O17">
        <v>26</v>
      </c>
      <c r="P17">
        <v>7</v>
      </c>
      <c r="Q17">
        <v>64</v>
      </c>
      <c r="R17" t="s">
        <v>46</v>
      </c>
      <c r="S17">
        <v>4</v>
      </c>
      <c r="T17" t="s">
        <v>47</v>
      </c>
      <c r="U17" t="s">
        <v>56</v>
      </c>
      <c r="V17">
        <v>0</v>
      </c>
      <c r="W17">
        <v>0</v>
      </c>
      <c r="X17">
        <v>0</v>
      </c>
      <c r="Y17">
        <v>7</v>
      </c>
      <c r="Z17" t="s">
        <v>37</v>
      </c>
    </row>
    <row r="18" spans="1:26" x14ac:dyDescent="0.3">
      <c r="A18" t="s">
        <v>59</v>
      </c>
      <c r="B18" t="s">
        <v>34</v>
      </c>
      <c r="C18">
        <v>38</v>
      </c>
      <c r="D18">
        <v>25</v>
      </c>
      <c r="E18">
        <v>57.894736842105267</v>
      </c>
      <c r="F18" t="b">
        <v>1</v>
      </c>
      <c r="G18">
        <v>52.9</v>
      </c>
      <c r="H18">
        <v>61.8</v>
      </c>
      <c r="I18">
        <v>38.700000000000003</v>
      </c>
      <c r="J18">
        <v>68.099999999999994</v>
      </c>
      <c r="K18">
        <v>55.374999999999993</v>
      </c>
      <c r="L18" t="s">
        <v>28</v>
      </c>
      <c r="M18">
        <v>4</v>
      </c>
      <c r="N18" t="s">
        <v>50</v>
      </c>
      <c r="O18">
        <v>20</v>
      </c>
      <c r="P18">
        <v>9</v>
      </c>
      <c r="Q18">
        <v>61</v>
      </c>
      <c r="R18" t="s">
        <v>35</v>
      </c>
      <c r="S18">
        <v>2</v>
      </c>
      <c r="T18" t="s">
        <v>31</v>
      </c>
      <c r="U18" t="s">
        <v>32</v>
      </c>
      <c r="V18">
        <v>1</v>
      </c>
      <c r="W18">
        <v>0</v>
      </c>
      <c r="X18">
        <v>0</v>
      </c>
      <c r="Y18">
        <v>9</v>
      </c>
      <c r="Z18" t="s">
        <v>33</v>
      </c>
    </row>
    <row r="19" spans="1:26" x14ac:dyDescent="0.3">
      <c r="A19" t="s">
        <v>59</v>
      </c>
      <c r="B19" t="s">
        <v>38</v>
      </c>
      <c r="C19">
        <v>35</v>
      </c>
      <c r="D19">
        <v>22</v>
      </c>
      <c r="E19">
        <v>77.142857142857153</v>
      </c>
      <c r="F19" t="b">
        <v>1</v>
      </c>
      <c r="G19">
        <v>71.3</v>
      </c>
      <c r="H19">
        <v>60.2</v>
      </c>
      <c r="I19">
        <v>55.5</v>
      </c>
      <c r="J19">
        <v>74.900000000000006</v>
      </c>
      <c r="K19">
        <v>65.474999999999994</v>
      </c>
      <c r="L19" t="s">
        <v>28</v>
      </c>
      <c r="M19">
        <v>4</v>
      </c>
      <c r="N19" t="s">
        <v>50</v>
      </c>
      <c r="O19">
        <v>16</v>
      </c>
      <c r="P19">
        <v>6</v>
      </c>
      <c r="Q19">
        <v>45</v>
      </c>
      <c r="R19" t="s">
        <v>30</v>
      </c>
      <c r="S19">
        <v>3</v>
      </c>
      <c r="T19" t="s">
        <v>39</v>
      </c>
      <c r="U19" t="s">
        <v>36</v>
      </c>
      <c r="V19">
        <v>0</v>
      </c>
      <c r="W19">
        <v>0</v>
      </c>
      <c r="X19">
        <v>0</v>
      </c>
      <c r="Y19">
        <v>6</v>
      </c>
      <c r="Z19" t="s">
        <v>37</v>
      </c>
    </row>
    <row r="20" spans="1:26" x14ac:dyDescent="0.3">
      <c r="A20" t="s">
        <v>59</v>
      </c>
      <c r="B20" t="s">
        <v>40</v>
      </c>
      <c r="C20">
        <v>26</v>
      </c>
      <c r="D20">
        <v>27</v>
      </c>
      <c r="E20">
        <v>65.384615384615387</v>
      </c>
      <c r="F20" t="b">
        <v>1</v>
      </c>
      <c r="G20">
        <v>55.9</v>
      </c>
      <c r="H20">
        <v>47.8</v>
      </c>
      <c r="I20">
        <v>62.3</v>
      </c>
      <c r="J20">
        <v>33.700000000000003</v>
      </c>
      <c r="K20">
        <v>49.924999999999997</v>
      </c>
      <c r="L20" t="s">
        <v>28</v>
      </c>
      <c r="M20">
        <v>4</v>
      </c>
      <c r="N20" t="s">
        <v>50</v>
      </c>
      <c r="O20">
        <v>13</v>
      </c>
      <c r="P20">
        <v>5</v>
      </c>
      <c r="Q20">
        <v>36</v>
      </c>
      <c r="R20" t="s">
        <v>30</v>
      </c>
      <c r="S20">
        <v>3</v>
      </c>
      <c r="T20" t="s">
        <v>41</v>
      </c>
      <c r="U20" t="s">
        <v>32</v>
      </c>
      <c r="V20">
        <v>1</v>
      </c>
      <c r="W20">
        <v>0</v>
      </c>
      <c r="X20">
        <v>0</v>
      </c>
      <c r="Y20">
        <v>5</v>
      </c>
      <c r="Z20" t="s">
        <v>33</v>
      </c>
    </row>
    <row r="21" spans="1:26" x14ac:dyDescent="0.3">
      <c r="A21" t="s">
        <v>59</v>
      </c>
      <c r="B21" t="s">
        <v>42</v>
      </c>
      <c r="C21">
        <v>34</v>
      </c>
      <c r="D21">
        <v>17</v>
      </c>
      <c r="E21">
        <v>64.705882352941174</v>
      </c>
      <c r="F21" t="b">
        <v>1</v>
      </c>
      <c r="G21">
        <v>65.2</v>
      </c>
      <c r="H21">
        <v>68.2</v>
      </c>
      <c r="I21">
        <v>53.7</v>
      </c>
      <c r="J21">
        <v>63.9</v>
      </c>
      <c r="K21">
        <v>62.750000000000007</v>
      </c>
      <c r="L21" t="s">
        <v>28</v>
      </c>
      <c r="M21">
        <v>4</v>
      </c>
      <c r="N21" t="s">
        <v>50</v>
      </c>
      <c r="P21">
        <v>7</v>
      </c>
      <c r="R21" t="s">
        <v>43</v>
      </c>
      <c r="S21">
        <v>3</v>
      </c>
      <c r="T21" t="s">
        <v>44</v>
      </c>
      <c r="U21" t="s">
        <v>36</v>
      </c>
      <c r="V21">
        <v>1</v>
      </c>
      <c r="W21">
        <v>1</v>
      </c>
      <c r="X21">
        <v>0</v>
      </c>
      <c r="Y21">
        <v>7</v>
      </c>
      <c r="Z21" t="s">
        <v>37</v>
      </c>
    </row>
    <row r="22" spans="1:26" x14ac:dyDescent="0.3">
      <c r="A22" t="s">
        <v>59</v>
      </c>
      <c r="B22" t="s">
        <v>45</v>
      </c>
      <c r="C22">
        <v>40</v>
      </c>
      <c r="D22">
        <v>22</v>
      </c>
      <c r="E22">
        <v>60</v>
      </c>
      <c r="F22" t="b">
        <v>1</v>
      </c>
      <c r="G22">
        <v>63</v>
      </c>
      <c r="H22">
        <v>64.599999999999994</v>
      </c>
      <c r="I22">
        <v>48</v>
      </c>
      <c r="J22">
        <v>53.3</v>
      </c>
      <c r="K22">
        <v>57.225000000000001</v>
      </c>
      <c r="L22" t="s">
        <v>28</v>
      </c>
      <c r="M22">
        <v>4</v>
      </c>
      <c r="N22" t="s">
        <v>50</v>
      </c>
      <c r="O22">
        <v>20</v>
      </c>
      <c r="P22">
        <v>9</v>
      </c>
      <c r="Q22">
        <v>43</v>
      </c>
      <c r="R22" t="s">
        <v>46</v>
      </c>
      <c r="S22">
        <v>4</v>
      </c>
      <c r="T22" t="s">
        <v>47</v>
      </c>
      <c r="U22" t="s">
        <v>32</v>
      </c>
      <c r="V22">
        <v>1</v>
      </c>
      <c r="W22">
        <v>0</v>
      </c>
      <c r="X22">
        <v>0</v>
      </c>
      <c r="Y22">
        <v>9</v>
      </c>
      <c r="Z22" t="s">
        <v>33</v>
      </c>
    </row>
    <row r="23" spans="1:26" x14ac:dyDescent="0.3">
      <c r="A23" t="s">
        <v>60</v>
      </c>
      <c r="B23" t="s">
        <v>27</v>
      </c>
      <c r="C23">
        <v>35</v>
      </c>
      <c r="D23">
        <v>24</v>
      </c>
      <c r="E23">
        <v>65.714285714285708</v>
      </c>
      <c r="F23" t="b">
        <v>1</v>
      </c>
      <c r="G23">
        <v>57.5</v>
      </c>
      <c r="H23">
        <v>79.7</v>
      </c>
      <c r="I23">
        <v>95.7</v>
      </c>
      <c r="J23">
        <v>64.3</v>
      </c>
      <c r="K23">
        <v>74.3</v>
      </c>
      <c r="L23" t="s">
        <v>61</v>
      </c>
      <c r="M23">
        <v>3</v>
      </c>
      <c r="N23" t="s">
        <v>50</v>
      </c>
      <c r="O23">
        <v>11</v>
      </c>
      <c r="P23">
        <v>8</v>
      </c>
      <c r="Q23">
        <v>35</v>
      </c>
      <c r="R23" t="s">
        <v>30</v>
      </c>
      <c r="S23">
        <v>4</v>
      </c>
      <c r="T23" t="s">
        <v>31</v>
      </c>
      <c r="U23" t="s">
        <v>36</v>
      </c>
      <c r="V23">
        <v>1</v>
      </c>
      <c r="W23">
        <v>0</v>
      </c>
      <c r="X23">
        <v>0</v>
      </c>
      <c r="Y23">
        <v>8</v>
      </c>
      <c r="Z23" t="s">
        <v>37</v>
      </c>
    </row>
    <row r="24" spans="1:26" x14ac:dyDescent="0.3">
      <c r="A24" t="s">
        <v>60</v>
      </c>
      <c r="B24" t="s">
        <v>51</v>
      </c>
      <c r="C24">
        <v>32</v>
      </c>
      <c r="D24">
        <v>23</v>
      </c>
      <c r="E24">
        <v>59.375</v>
      </c>
      <c r="F24" t="b">
        <v>1</v>
      </c>
      <c r="G24">
        <v>37</v>
      </c>
      <c r="H24">
        <v>59.4</v>
      </c>
      <c r="I24">
        <v>59.8</v>
      </c>
      <c r="K24">
        <v>52.066666666666663</v>
      </c>
      <c r="L24" t="s">
        <v>61</v>
      </c>
      <c r="M24">
        <v>3</v>
      </c>
      <c r="N24" t="s">
        <v>50</v>
      </c>
      <c r="O24">
        <v>21</v>
      </c>
      <c r="P24">
        <v>13</v>
      </c>
      <c r="Q24">
        <v>47</v>
      </c>
      <c r="R24" t="s">
        <v>30</v>
      </c>
      <c r="S24">
        <v>3</v>
      </c>
      <c r="T24" t="s">
        <v>52</v>
      </c>
      <c r="U24" t="s">
        <v>32</v>
      </c>
      <c r="V24">
        <v>1</v>
      </c>
      <c r="W24">
        <v>0</v>
      </c>
      <c r="X24">
        <v>1</v>
      </c>
      <c r="Y24">
        <v>13</v>
      </c>
      <c r="Z24" t="s">
        <v>33</v>
      </c>
    </row>
    <row r="25" spans="1:26" x14ac:dyDescent="0.3">
      <c r="A25" t="s">
        <v>60</v>
      </c>
      <c r="B25" t="s">
        <v>51</v>
      </c>
      <c r="C25">
        <v>32</v>
      </c>
      <c r="D25">
        <v>19</v>
      </c>
      <c r="E25">
        <v>59.375</v>
      </c>
      <c r="F25" t="b">
        <v>1</v>
      </c>
      <c r="G25">
        <v>58</v>
      </c>
      <c r="H25">
        <v>84.8</v>
      </c>
      <c r="I25">
        <v>57.2</v>
      </c>
      <c r="J25">
        <v>72.599999999999994</v>
      </c>
      <c r="K25">
        <v>68.150000000000006</v>
      </c>
      <c r="L25" t="s">
        <v>61</v>
      </c>
      <c r="M25">
        <v>3</v>
      </c>
      <c r="N25" t="s">
        <v>50</v>
      </c>
      <c r="O25">
        <v>21</v>
      </c>
      <c r="P25">
        <v>13</v>
      </c>
      <c r="Q25">
        <v>47</v>
      </c>
      <c r="R25" t="s">
        <v>30</v>
      </c>
      <c r="S25">
        <v>3</v>
      </c>
      <c r="T25" t="s">
        <v>52</v>
      </c>
      <c r="U25" t="s">
        <v>36</v>
      </c>
      <c r="V25">
        <v>1</v>
      </c>
      <c r="W25">
        <v>0</v>
      </c>
      <c r="X25">
        <v>0</v>
      </c>
      <c r="Y25">
        <v>13</v>
      </c>
      <c r="Z25" t="s">
        <v>37</v>
      </c>
    </row>
    <row r="26" spans="1:26" x14ac:dyDescent="0.3">
      <c r="A26" t="s">
        <v>60</v>
      </c>
      <c r="B26" t="s">
        <v>34</v>
      </c>
      <c r="C26">
        <v>37</v>
      </c>
      <c r="D26">
        <v>19</v>
      </c>
      <c r="E26">
        <v>72.972972972972968</v>
      </c>
      <c r="F26" t="b">
        <v>1</v>
      </c>
      <c r="L26" t="s">
        <v>61</v>
      </c>
      <c r="M26">
        <v>3</v>
      </c>
      <c r="N26" t="s">
        <v>50</v>
      </c>
      <c r="O26">
        <v>20</v>
      </c>
      <c r="P26">
        <v>7</v>
      </c>
      <c r="Q26">
        <v>60</v>
      </c>
      <c r="R26" t="s">
        <v>35</v>
      </c>
      <c r="S26">
        <v>2</v>
      </c>
      <c r="T26" t="s">
        <v>31</v>
      </c>
      <c r="V26">
        <v>1</v>
      </c>
      <c r="W26">
        <v>0</v>
      </c>
      <c r="X26">
        <v>4</v>
      </c>
      <c r="Y26">
        <v>7</v>
      </c>
      <c r="Z26" t="s">
        <v>37</v>
      </c>
    </row>
    <row r="27" spans="1:26" x14ac:dyDescent="0.3">
      <c r="A27" t="s">
        <v>60</v>
      </c>
      <c r="B27" t="s">
        <v>38</v>
      </c>
      <c r="C27">
        <v>33</v>
      </c>
      <c r="D27">
        <v>27</v>
      </c>
      <c r="E27">
        <v>72.727272727272734</v>
      </c>
      <c r="F27" t="b">
        <v>1</v>
      </c>
      <c r="G27">
        <v>44</v>
      </c>
      <c r="H27">
        <v>75.5</v>
      </c>
      <c r="I27">
        <v>55.2</v>
      </c>
      <c r="J27">
        <v>83.8</v>
      </c>
      <c r="K27">
        <v>64.625</v>
      </c>
      <c r="L27" t="s">
        <v>61</v>
      </c>
      <c r="M27">
        <v>3</v>
      </c>
      <c r="N27" t="s">
        <v>50</v>
      </c>
      <c r="O27">
        <v>15</v>
      </c>
      <c r="P27">
        <v>7</v>
      </c>
      <c r="Q27">
        <v>52</v>
      </c>
      <c r="R27" t="s">
        <v>30</v>
      </c>
      <c r="S27">
        <v>3</v>
      </c>
      <c r="T27" t="s">
        <v>39</v>
      </c>
      <c r="U27" t="s">
        <v>36</v>
      </c>
      <c r="V27">
        <v>1</v>
      </c>
      <c r="W27">
        <v>0</v>
      </c>
      <c r="X27">
        <v>0</v>
      </c>
      <c r="Y27">
        <v>7</v>
      </c>
      <c r="Z27" t="s">
        <v>37</v>
      </c>
    </row>
    <row r="28" spans="1:26" x14ac:dyDescent="0.3">
      <c r="A28" t="s">
        <v>60</v>
      </c>
      <c r="B28" t="s">
        <v>42</v>
      </c>
      <c r="C28">
        <v>36</v>
      </c>
      <c r="D28">
        <v>24</v>
      </c>
      <c r="E28">
        <v>58.333333333333343</v>
      </c>
      <c r="F28" t="b">
        <v>1</v>
      </c>
      <c r="G28">
        <v>58.4</v>
      </c>
      <c r="H28">
        <v>51.8</v>
      </c>
      <c r="I28">
        <v>91.5</v>
      </c>
      <c r="J28">
        <v>100</v>
      </c>
      <c r="K28">
        <v>75.424999999999997</v>
      </c>
      <c r="L28" t="s">
        <v>61</v>
      </c>
      <c r="M28">
        <v>3</v>
      </c>
      <c r="N28" t="s">
        <v>50</v>
      </c>
      <c r="O28">
        <v>15</v>
      </c>
      <c r="P28">
        <v>5</v>
      </c>
      <c r="Q28">
        <v>44</v>
      </c>
      <c r="R28" t="s">
        <v>43</v>
      </c>
      <c r="S28">
        <v>3</v>
      </c>
      <c r="T28" t="s">
        <v>44</v>
      </c>
      <c r="U28" t="s">
        <v>56</v>
      </c>
      <c r="V28">
        <v>1</v>
      </c>
      <c r="W28">
        <v>0</v>
      </c>
      <c r="X28">
        <v>0</v>
      </c>
      <c r="Y28">
        <v>5</v>
      </c>
      <c r="Z28" t="s">
        <v>37</v>
      </c>
    </row>
    <row r="29" spans="1:26" x14ac:dyDescent="0.3">
      <c r="A29" t="s">
        <v>60</v>
      </c>
      <c r="B29" t="s">
        <v>45</v>
      </c>
      <c r="C29">
        <v>31</v>
      </c>
      <c r="D29">
        <v>21</v>
      </c>
      <c r="E29">
        <v>67.741935483870961</v>
      </c>
      <c r="F29" t="b">
        <v>1</v>
      </c>
      <c r="H29">
        <v>50.3</v>
      </c>
      <c r="I29">
        <v>57</v>
      </c>
      <c r="J29">
        <v>49.9</v>
      </c>
      <c r="K29">
        <v>52.4</v>
      </c>
      <c r="L29" t="s">
        <v>61</v>
      </c>
      <c r="M29">
        <v>3</v>
      </c>
      <c r="N29" t="s">
        <v>50</v>
      </c>
      <c r="O29">
        <v>20</v>
      </c>
      <c r="P29">
        <v>7</v>
      </c>
      <c r="Q29">
        <v>44</v>
      </c>
      <c r="R29" t="s">
        <v>46</v>
      </c>
      <c r="S29">
        <v>4</v>
      </c>
      <c r="T29" t="s">
        <v>47</v>
      </c>
      <c r="U29" t="s">
        <v>32</v>
      </c>
      <c r="V29">
        <v>1</v>
      </c>
      <c r="W29">
        <v>0</v>
      </c>
      <c r="X29">
        <v>1</v>
      </c>
      <c r="Y29">
        <v>7</v>
      </c>
      <c r="Z29" t="s">
        <v>33</v>
      </c>
    </row>
    <row r="30" spans="1:26" x14ac:dyDescent="0.3">
      <c r="A30" t="s">
        <v>62</v>
      </c>
      <c r="B30" t="s">
        <v>51</v>
      </c>
      <c r="C30">
        <v>36</v>
      </c>
      <c r="D30">
        <v>21</v>
      </c>
      <c r="E30">
        <v>69.444444444444443</v>
      </c>
      <c r="F30" t="b">
        <v>1</v>
      </c>
      <c r="G30">
        <v>73.599999999999994</v>
      </c>
      <c r="H30">
        <v>73.2</v>
      </c>
      <c r="I30">
        <v>67.599999999999994</v>
      </c>
      <c r="J30">
        <v>84.1</v>
      </c>
      <c r="K30">
        <v>74.625</v>
      </c>
      <c r="L30" t="s">
        <v>54</v>
      </c>
      <c r="M30">
        <v>4</v>
      </c>
      <c r="N30" t="s">
        <v>29</v>
      </c>
      <c r="O30">
        <v>9</v>
      </c>
      <c r="P30">
        <v>9</v>
      </c>
      <c r="Q30">
        <v>33</v>
      </c>
      <c r="R30" t="s">
        <v>30</v>
      </c>
      <c r="S30">
        <v>3</v>
      </c>
      <c r="T30" t="s">
        <v>52</v>
      </c>
      <c r="U30" t="s">
        <v>36</v>
      </c>
      <c r="V30">
        <v>1</v>
      </c>
      <c r="W30">
        <v>0</v>
      </c>
      <c r="X30">
        <v>0</v>
      </c>
      <c r="Y30">
        <v>9</v>
      </c>
      <c r="Z30" t="s">
        <v>37</v>
      </c>
    </row>
    <row r="31" spans="1:26" x14ac:dyDescent="0.3">
      <c r="A31" t="s">
        <v>62</v>
      </c>
      <c r="B31" t="s">
        <v>34</v>
      </c>
      <c r="C31">
        <v>40</v>
      </c>
      <c r="D31">
        <v>25</v>
      </c>
      <c r="E31">
        <v>72.5</v>
      </c>
      <c r="F31" t="b">
        <v>1</v>
      </c>
      <c r="G31">
        <v>54.1</v>
      </c>
      <c r="H31">
        <v>54.5</v>
      </c>
      <c r="I31">
        <v>72.3</v>
      </c>
      <c r="J31">
        <v>72.8</v>
      </c>
      <c r="K31">
        <v>63.424999999999997</v>
      </c>
      <c r="L31" t="s">
        <v>54</v>
      </c>
      <c r="M31">
        <v>4</v>
      </c>
      <c r="N31" t="s">
        <v>29</v>
      </c>
      <c r="O31">
        <v>30</v>
      </c>
      <c r="P31">
        <v>9</v>
      </c>
      <c r="Q31">
        <v>77</v>
      </c>
      <c r="R31" t="s">
        <v>35</v>
      </c>
      <c r="S31">
        <v>2</v>
      </c>
      <c r="T31" t="s">
        <v>31</v>
      </c>
      <c r="U31" t="s">
        <v>36</v>
      </c>
      <c r="V31">
        <v>1</v>
      </c>
      <c r="W31">
        <v>0</v>
      </c>
      <c r="X31">
        <v>0</v>
      </c>
      <c r="Y31">
        <v>9</v>
      </c>
      <c r="Z31" t="s">
        <v>37</v>
      </c>
    </row>
    <row r="32" spans="1:26" x14ac:dyDescent="0.3">
      <c r="A32" t="s">
        <v>62</v>
      </c>
      <c r="B32" t="s">
        <v>40</v>
      </c>
      <c r="C32">
        <v>27</v>
      </c>
      <c r="D32">
        <v>29</v>
      </c>
      <c r="E32">
        <v>59.259259259259252</v>
      </c>
      <c r="F32" t="b">
        <v>1</v>
      </c>
      <c r="G32">
        <v>56.4</v>
      </c>
      <c r="H32">
        <v>80.5</v>
      </c>
      <c r="I32">
        <v>72.099999999999994</v>
      </c>
      <c r="J32">
        <v>68.8</v>
      </c>
      <c r="K32">
        <v>69.45</v>
      </c>
      <c r="L32" t="s">
        <v>54</v>
      </c>
      <c r="M32">
        <v>4</v>
      </c>
      <c r="N32" t="s">
        <v>29</v>
      </c>
      <c r="O32">
        <v>18</v>
      </c>
      <c r="P32">
        <v>11</v>
      </c>
      <c r="Q32">
        <v>49</v>
      </c>
      <c r="R32" t="s">
        <v>30</v>
      </c>
      <c r="S32">
        <v>3</v>
      </c>
      <c r="T32" t="s">
        <v>41</v>
      </c>
      <c r="U32" t="s">
        <v>36</v>
      </c>
      <c r="V32">
        <v>1</v>
      </c>
      <c r="W32">
        <v>0</v>
      </c>
      <c r="X32">
        <v>0</v>
      </c>
      <c r="Y32">
        <v>11</v>
      </c>
      <c r="Z32" t="s">
        <v>37</v>
      </c>
    </row>
    <row r="33" spans="1:26" x14ac:dyDescent="0.3">
      <c r="A33" t="s">
        <v>62</v>
      </c>
      <c r="B33" t="s">
        <v>57</v>
      </c>
      <c r="C33">
        <v>36</v>
      </c>
      <c r="D33">
        <v>16</v>
      </c>
      <c r="E33">
        <v>58.333333333333343</v>
      </c>
      <c r="F33" t="b">
        <v>1</v>
      </c>
      <c r="G33">
        <v>72.900000000000006</v>
      </c>
      <c r="H33">
        <v>82.9</v>
      </c>
      <c r="I33">
        <v>56.1</v>
      </c>
      <c r="J33">
        <v>68.400000000000006</v>
      </c>
      <c r="K33">
        <v>70.075000000000003</v>
      </c>
      <c r="L33" t="s">
        <v>54</v>
      </c>
      <c r="M33">
        <v>4</v>
      </c>
      <c r="N33" t="s">
        <v>29</v>
      </c>
      <c r="O33">
        <v>15</v>
      </c>
      <c r="P33">
        <v>10</v>
      </c>
      <c r="Q33">
        <v>60</v>
      </c>
      <c r="R33" t="s">
        <v>30</v>
      </c>
      <c r="S33">
        <v>4</v>
      </c>
      <c r="T33" t="s">
        <v>58</v>
      </c>
      <c r="U33" t="s">
        <v>36</v>
      </c>
      <c r="V33">
        <v>1</v>
      </c>
      <c r="W33">
        <v>0</v>
      </c>
      <c r="X33">
        <v>0</v>
      </c>
      <c r="Y33">
        <v>10</v>
      </c>
      <c r="Z33" t="s">
        <v>37</v>
      </c>
    </row>
    <row r="34" spans="1:26" x14ac:dyDescent="0.3">
      <c r="A34" t="s">
        <v>62</v>
      </c>
      <c r="B34" t="s">
        <v>45</v>
      </c>
      <c r="C34">
        <v>32</v>
      </c>
      <c r="D34">
        <v>21</v>
      </c>
      <c r="E34">
        <v>40.625</v>
      </c>
      <c r="F34" t="b">
        <v>1</v>
      </c>
      <c r="G34">
        <v>50.4</v>
      </c>
      <c r="H34">
        <v>62.8</v>
      </c>
      <c r="I34">
        <v>58</v>
      </c>
      <c r="J34">
        <v>52.8</v>
      </c>
      <c r="K34">
        <v>56</v>
      </c>
      <c r="L34" t="s">
        <v>54</v>
      </c>
      <c r="M34">
        <v>4</v>
      </c>
      <c r="N34" t="s">
        <v>29</v>
      </c>
      <c r="O34">
        <v>7</v>
      </c>
      <c r="P34">
        <v>10</v>
      </c>
      <c r="Q34">
        <v>28</v>
      </c>
      <c r="R34" t="s">
        <v>46</v>
      </c>
      <c r="S34">
        <v>4</v>
      </c>
      <c r="T34" t="s">
        <v>47</v>
      </c>
      <c r="U34" t="s">
        <v>32</v>
      </c>
      <c r="V34">
        <v>1</v>
      </c>
      <c r="W34">
        <v>0</v>
      </c>
      <c r="X34">
        <v>0</v>
      </c>
      <c r="Y34">
        <v>10</v>
      </c>
      <c r="Z34" t="s">
        <v>33</v>
      </c>
    </row>
    <row r="35" spans="1:26" x14ac:dyDescent="0.3">
      <c r="A35" t="s">
        <v>63</v>
      </c>
      <c r="B35" t="s">
        <v>34</v>
      </c>
      <c r="C35">
        <v>38</v>
      </c>
      <c r="D35">
        <v>13</v>
      </c>
      <c r="E35">
        <v>31.578947368421051</v>
      </c>
      <c r="F35" t="b">
        <v>1</v>
      </c>
      <c r="G35">
        <v>40.5</v>
      </c>
      <c r="H35">
        <v>71.2</v>
      </c>
      <c r="I35">
        <v>53.5</v>
      </c>
      <c r="J35">
        <v>65.5</v>
      </c>
      <c r="K35">
        <v>57.674999999999997</v>
      </c>
      <c r="L35" t="s">
        <v>28</v>
      </c>
      <c r="M35">
        <v>4</v>
      </c>
      <c r="N35" t="s">
        <v>50</v>
      </c>
      <c r="O35">
        <v>9</v>
      </c>
      <c r="P35">
        <v>6</v>
      </c>
      <c r="Q35">
        <v>40</v>
      </c>
      <c r="R35" t="s">
        <v>35</v>
      </c>
      <c r="S35">
        <v>2</v>
      </c>
      <c r="T35" t="s">
        <v>31</v>
      </c>
      <c r="U35" t="s">
        <v>32</v>
      </c>
      <c r="V35">
        <v>1</v>
      </c>
      <c r="W35">
        <v>0</v>
      </c>
      <c r="X35">
        <v>0</v>
      </c>
      <c r="Y35">
        <v>6</v>
      </c>
      <c r="Z35" t="s">
        <v>33</v>
      </c>
    </row>
    <row r="36" spans="1:26" x14ac:dyDescent="0.3">
      <c r="A36" t="s">
        <v>63</v>
      </c>
      <c r="B36" t="s">
        <v>38</v>
      </c>
      <c r="C36">
        <v>40</v>
      </c>
      <c r="D36">
        <v>12</v>
      </c>
      <c r="E36">
        <v>60</v>
      </c>
      <c r="F36" t="b">
        <v>1</v>
      </c>
      <c r="G36">
        <v>52.6</v>
      </c>
      <c r="I36">
        <v>70.099999999999994</v>
      </c>
      <c r="J36">
        <v>69.3</v>
      </c>
      <c r="K36">
        <v>64</v>
      </c>
      <c r="L36" t="s">
        <v>28</v>
      </c>
      <c r="M36">
        <v>4</v>
      </c>
      <c r="N36" t="s">
        <v>50</v>
      </c>
      <c r="O36">
        <v>20</v>
      </c>
      <c r="P36">
        <v>8</v>
      </c>
      <c r="Q36">
        <v>62</v>
      </c>
      <c r="R36" t="s">
        <v>30</v>
      </c>
      <c r="S36">
        <v>3</v>
      </c>
      <c r="T36" t="s">
        <v>39</v>
      </c>
      <c r="U36" t="s">
        <v>36</v>
      </c>
      <c r="V36">
        <v>1</v>
      </c>
      <c r="W36">
        <v>0</v>
      </c>
      <c r="X36">
        <v>1</v>
      </c>
      <c r="Y36">
        <v>8</v>
      </c>
      <c r="Z36" t="s">
        <v>37</v>
      </c>
    </row>
    <row r="37" spans="1:26" x14ac:dyDescent="0.3">
      <c r="A37" t="s">
        <v>63</v>
      </c>
      <c r="B37" t="s">
        <v>40</v>
      </c>
      <c r="C37">
        <v>39</v>
      </c>
      <c r="D37">
        <v>24</v>
      </c>
      <c r="E37">
        <v>51.282051282051277</v>
      </c>
      <c r="F37" t="b">
        <v>1</v>
      </c>
      <c r="G37">
        <v>27.3</v>
      </c>
      <c r="H37">
        <v>50.5</v>
      </c>
      <c r="I37">
        <v>40.299999999999997</v>
      </c>
      <c r="J37">
        <v>60.3</v>
      </c>
      <c r="K37">
        <v>44.6</v>
      </c>
      <c r="L37" t="s">
        <v>28</v>
      </c>
      <c r="M37">
        <v>4</v>
      </c>
      <c r="N37" t="s">
        <v>50</v>
      </c>
      <c r="O37">
        <v>22</v>
      </c>
      <c r="P37">
        <v>8</v>
      </c>
      <c r="Q37">
        <v>50</v>
      </c>
      <c r="R37" t="s">
        <v>30</v>
      </c>
      <c r="S37">
        <v>3</v>
      </c>
      <c r="T37" t="s">
        <v>41</v>
      </c>
      <c r="U37" t="s">
        <v>32</v>
      </c>
      <c r="V37">
        <v>1</v>
      </c>
      <c r="W37">
        <v>0</v>
      </c>
      <c r="X37">
        <v>0</v>
      </c>
      <c r="Y37">
        <v>8</v>
      </c>
      <c r="Z37" t="s">
        <v>33</v>
      </c>
    </row>
    <row r="38" spans="1:26" x14ac:dyDescent="0.3">
      <c r="A38" t="s">
        <v>63</v>
      </c>
      <c r="B38" t="s">
        <v>45</v>
      </c>
      <c r="C38">
        <v>31</v>
      </c>
      <c r="D38">
        <v>20</v>
      </c>
      <c r="E38">
        <v>61.29032258064516</v>
      </c>
      <c r="F38" t="b">
        <v>1</v>
      </c>
      <c r="G38">
        <v>43.4</v>
      </c>
      <c r="H38">
        <v>47.3</v>
      </c>
      <c r="J38">
        <v>61.8</v>
      </c>
      <c r="K38">
        <v>50.833333333333343</v>
      </c>
      <c r="L38" t="s">
        <v>28</v>
      </c>
      <c r="M38">
        <v>4</v>
      </c>
      <c r="N38" t="s">
        <v>50</v>
      </c>
      <c r="O38">
        <v>12</v>
      </c>
      <c r="P38">
        <v>8</v>
      </c>
      <c r="Q38">
        <v>52</v>
      </c>
      <c r="R38" t="s">
        <v>46</v>
      </c>
      <c r="S38">
        <v>4</v>
      </c>
      <c r="T38" t="s">
        <v>47</v>
      </c>
      <c r="U38" t="s">
        <v>32</v>
      </c>
      <c r="V38">
        <v>1</v>
      </c>
      <c r="W38">
        <v>0</v>
      </c>
      <c r="X38">
        <v>1</v>
      </c>
      <c r="Y38">
        <v>8</v>
      </c>
      <c r="Z38" t="s">
        <v>33</v>
      </c>
    </row>
    <row r="39" spans="1:26" x14ac:dyDescent="0.3">
      <c r="A39" t="s">
        <v>64</v>
      </c>
      <c r="B39" t="s">
        <v>27</v>
      </c>
      <c r="C39">
        <v>37</v>
      </c>
      <c r="D39">
        <v>19</v>
      </c>
      <c r="E39">
        <v>48.648648648648653</v>
      </c>
      <c r="F39" t="b">
        <v>1</v>
      </c>
      <c r="G39">
        <v>68.5</v>
      </c>
      <c r="H39">
        <v>59.7</v>
      </c>
      <c r="I39">
        <v>65</v>
      </c>
      <c r="J39">
        <v>74</v>
      </c>
      <c r="K39">
        <v>66.8</v>
      </c>
      <c r="L39" t="s">
        <v>28</v>
      </c>
      <c r="M39">
        <v>3</v>
      </c>
      <c r="N39" t="s">
        <v>55</v>
      </c>
      <c r="O39">
        <v>26</v>
      </c>
      <c r="P39">
        <v>11</v>
      </c>
      <c r="Q39">
        <v>67</v>
      </c>
      <c r="R39" t="s">
        <v>30</v>
      </c>
      <c r="S39">
        <v>4</v>
      </c>
      <c r="T39" t="s">
        <v>31</v>
      </c>
      <c r="U39" t="s">
        <v>36</v>
      </c>
      <c r="V39">
        <v>1</v>
      </c>
      <c r="W39">
        <v>0</v>
      </c>
      <c r="X39">
        <v>0</v>
      </c>
      <c r="Y39">
        <v>11</v>
      </c>
      <c r="Z39" t="s">
        <v>37</v>
      </c>
    </row>
    <row r="40" spans="1:26" x14ac:dyDescent="0.3">
      <c r="A40" t="s">
        <v>64</v>
      </c>
      <c r="B40" t="s">
        <v>51</v>
      </c>
      <c r="C40">
        <v>37</v>
      </c>
      <c r="D40">
        <v>18</v>
      </c>
      <c r="E40">
        <v>43.243243243243242</v>
      </c>
      <c r="F40" t="b">
        <v>1</v>
      </c>
      <c r="G40">
        <v>66.5</v>
      </c>
      <c r="H40">
        <v>71.400000000000006</v>
      </c>
      <c r="I40">
        <v>38.200000000000003</v>
      </c>
      <c r="J40">
        <v>44.8</v>
      </c>
      <c r="K40">
        <v>55.225000000000009</v>
      </c>
      <c r="L40" t="s">
        <v>28</v>
      </c>
      <c r="M40">
        <v>3</v>
      </c>
      <c r="N40" t="s">
        <v>55</v>
      </c>
      <c r="O40">
        <v>16</v>
      </c>
      <c r="P40">
        <v>11</v>
      </c>
      <c r="Q40">
        <v>65</v>
      </c>
      <c r="R40" t="s">
        <v>30</v>
      </c>
      <c r="S40">
        <v>3</v>
      </c>
      <c r="T40" t="s">
        <v>52</v>
      </c>
      <c r="U40" t="s">
        <v>32</v>
      </c>
      <c r="V40">
        <v>1</v>
      </c>
      <c r="W40">
        <v>0</v>
      </c>
      <c r="X40">
        <v>0</v>
      </c>
      <c r="Y40">
        <v>11</v>
      </c>
      <c r="Z40" t="s">
        <v>33</v>
      </c>
    </row>
    <row r="41" spans="1:26" x14ac:dyDescent="0.3">
      <c r="A41" t="s">
        <v>64</v>
      </c>
      <c r="B41" t="s">
        <v>34</v>
      </c>
      <c r="C41">
        <v>36</v>
      </c>
      <c r="D41">
        <v>16</v>
      </c>
      <c r="E41">
        <v>75</v>
      </c>
      <c r="F41" t="b">
        <v>1</v>
      </c>
      <c r="G41">
        <v>74.3</v>
      </c>
      <c r="H41">
        <v>86.5</v>
      </c>
      <c r="I41">
        <v>75.900000000000006</v>
      </c>
      <c r="J41">
        <v>82.6</v>
      </c>
      <c r="K41">
        <v>79.825000000000003</v>
      </c>
      <c r="L41" t="s">
        <v>28</v>
      </c>
      <c r="M41">
        <v>3</v>
      </c>
      <c r="N41" t="s">
        <v>55</v>
      </c>
      <c r="O41">
        <v>22</v>
      </c>
      <c r="P41">
        <v>10</v>
      </c>
      <c r="Q41">
        <v>44</v>
      </c>
      <c r="R41" t="s">
        <v>35</v>
      </c>
      <c r="S41">
        <v>2</v>
      </c>
      <c r="T41" t="s">
        <v>31</v>
      </c>
      <c r="U41" t="s">
        <v>56</v>
      </c>
      <c r="V41">
        <v>0</v>
      </c>
      <c r="W41">
        <v>0</v>
      </c>
      <c r="X41">
        <v>0</v>
      </c>
      <c r="Y41">
        <v>10</v>
      </c>
      <c r="Z41" t="s">
        <v>37</v>
      </c>
    </row>
    <row r="42" spans="1:26" x14ac:dyDescent="0.3">
      <c r="A42" t="s">
        <v>64</v>
      </c>
      <c r="B42" t="s">
        <v>40</v>
      </c>
      <c r="C42">
        <v>37</v>
      </c>
      <c r="D42">
        <v>27</v>
      </c>
      <c r="E42">
        <v>64.86486486486487</v>
      </c>
      <c r="F42" t="b">
        <v>1</v>
      </c>
      <c r="G42">
        <v>47.6</v>
      </c>
      <c r="H42">
        <v>84.8</v>
      </c>
      <c r="I42">
        <v>85.2</v>
      </c>
      <c r="J42">
        <v>82.2</v>
      </c>
      <c r="K42">
        <v>74.95</v>
      </c>
      <c r="L42" t="s">
        <v>28</v>
      </c>
      <c r="M42">
        <v>3</v>
      </c>
      <c r="N42" t="s">
        <v>55</v>
      </c>
      <c r="O42">
        <v>19</v>
      </c>
      <c r="P42">
        <v>12</v>
      </c>
      <c r="Q42">
        <v>54</v>
      </c>
      <c r="R42" t="s">
        <v>30</v>
      </c>
      <c r="S42">
        <v>3</v>
      </c>
      <c r="T42" t="s">
        <v>41</v>
      </c>
      <c r="U42" t="s">
        <v>36</v>
      </c>
      <c r="V42">
        <v>1</v>
      </c>
      <c r="W42">
        <v>0</v>
      </c>
      <c r="X42">
        <v>0</v>
      </c>
      <c r="Y42">
        <v>12</v>
      </c>
      <c r="Z42" t="s">
        <v>37</v>
      </c>
    </row>
    <row r="43" spans="1:26" x14ac:dyDescent="0.3">
      <c r="A43" t="s">
        <v>64</v>
      </c>
      <c r="B43" t="s">
        <v>42</v>
      </c>
      <c r="C43">
        <v>24</v>
      </c>
      <c r="D43">
        <v>24</v>
      </c>
      <c r="E43">
        <v>70.833333333333343</v>
      </c>
      <c r="F43" t="b">
        <v>1</v>
      </c>
      <c r="G43">
        <v>53.2</v>
      </c>
      <c r="H43">
        <v>69</v>
      </c>
      <c r="I43">
        <v>57.7</v>
      </c>
      <c r="J43">
        <v>61.8</v>
      </c>
      <c r="K43">
        <v>60.424999999999997</v>
      </c>
      <c r="L43" t="s">
        <v>28</v>
      </c>
      <c r="M43">
        <v>3</v>
      </c>
      <c r="N43" t="s">
        <v>55</v>
      </c>
      <c r="O43">
        <v>28</v>
      </c>
      <c r="P43">
        <v>12</v>
      </c>
      <c r="Q43">
        <v>81</v>
      </c>
      <c r="R43" t="s">
        <v>43</v>
      </c>
      <c r="S43">
        <v>3</v>
      </c>
      <c r="T43" t="s">
        <v>44</v>
      </c>
      <c r="U43" t="s">
        <v>36</v>
      </c>
      <c r="V43">
        <v>1</v>
      </c>
      <c r="W43">
        <v>0</v>
      </c>
      <c r="X43">
        <v>0</v>
      </c>
      <c r="Y43">
        <v>12</v>
      </c>
      <c r="Z43" t="s">
        <v>37</v>
      </c>
    </row>
    <row r="44" spans="1:26" x14ac:dyDescent="0.3">
      <c r="A44" t="s">
        <v>65</v>
      </c>
      <c r="B44" t="s">
        <v>27</v>
      </c>
      <c r="C44">
        <v>31</v>
      </c>
      <c r="D44">
        <v>17</v>
      </c>
      <c r="E44">
        <v>48.387096774193552</v>
      </c>
      <c r="F44" t="b">
        <v>1</v>
      </c>
      <c r="G44">
        <v>83.1</v>
      </c>
      <c r="H44">
        <v>59.2</v>
      </c>
      <c r="I44">
        <v>34.200000000000003</v>
      </c>
      <c r="J44">
        <v>56.1</v>
      </c>
      <c r="K44">
        <v>58.15</v>
      </c>
      <c r="L44" t="s">
        <v>61</v>
      </c>
      <c r="M44">
        <v>3</v>
      </c>
      <c r="N44" t="s">
        <v>55</v>
      </c>
      <c r="O44">
        <v>17</v>
      </c>
      <c r="P44">
        <v>9</v>
      </c>
      <c r="Q44">
        <v>50</v>
      </c>
      <c r="R44" t="s">
        <v>30</v>
      </c>
      <c r="S44">
        <v>4</v>
      </c>
      <c r="T44" t="s">
        <v>31</v>
      </c>
      <c r="U44" t="s">
        <v>32</v>
      </c>
      <c r="V44">
        <v>1</v>
      </c>
      <c r="W44">
        <v>0</v>
      </c>
      <c r="X44">
        <v>0</v>
      </c>
      <c r="Y44">
        <v>9</v>
      </c>
      <c r="Z44" t="s">
        <v>33</v>
      </c>
    </row>
    <row r="45" spans="1:26" x14ac:dyDescent="0.3">
      <c r="A45" t="s">
        <v>65</v>
      </c>
      <c r="B45" t="s">
        <v>34</v>
      </c>
      <c r="C45">
        <v>28</v>
      </c>
      <c r="D45">
        <v>15</v>
      </c>
      <c r="E45">
        <v>67.857142857142861</v>
      </c>
      <c r="F45" t="b">
        <v>1</v>
      </c>
      <c r="G45">
        <v>60.3</v>
      </c>
      <c r="H45">
        <v>74.8</v>
      </c>
      <c r="I45">
        <v>58.2</v>
      </c>
      <c r="J45">
        <v>68.599999999999994</v>
      </c>
      <c r="K45">
        <v>65.474999999999994</v>
      </c>
      <c r="L45" t="s">
        <v>61</v>
      </c>
      <c r="M45">
        <v>3</v>
      </c>
      <c r="N45" t="s">
        <v>55</v>
      </c>
      <c r="O45">
        <v>20</v>
      </c>
      <c r="P45">
        <v>8</v>
      </c>
      <c r="Q45">
        <v>58</v>
      </c>
      <c r="R45" t="s">
        <v>35</v>
      </c>
      <c r="S45">
        <v>2</v>
      </c>
      <c r="T45" t="s">
        <v>31</v>
      </c>
      <c r="U45" t="s">
        <v>36</v>
      </c>
      <c r="V45">
        <v>1</v>
      </c>
      <c r="W45">
        <v>0</v>
      </c>
      <c r="X45">
        <v>0</v>
      </c>
      <c r="Y45">
        <v>8</v>
      </c>
      <c r="Z45" t="s">
        <v>37</v>
      </c>
    </row>
    <row r="46" spans="1:26" x14ac:dyDescent="0.3">
      <c r="A46" t="s">
        <v>65</v>
      </c>
      <c r="B46" t="s">
        <v>57</v>
      </c>
      <c r="C46">
        <v>28</v>
      </c>
      <c r="D46">
        <v>19</v>
      </c>
      <c r="E46">
        <v>53.571428571428569</v>
      </c>
      <c r="F46" t="b">
        <v>1</v>
      </c>
      <c r="H46">
        <v>70.900000000000006</v>
      </c>
      <c r="I46">
        <v>35</v>
      </c>
      <c r="J46">
        <v>67.900000000000006</v>
      </c>
      <c r="K46">
        <v>57.933333333333337</v>
      </c>
      <c r="L46" t="s">
        <v>61</v>
      </c>
      <c r="M46">
        <v>3</v>
      </c>
      <c r="N46" t="s">
        <v>55</v>
      </c>
      <c r="P46">
        <v>11</v>
      </c>
      <c r="R46" t="s">
        <v>30</v>
      </c>
      <c r="S46">
        <v>4</v>
      </c>
      <c r="T46" t="s">
        <v>58</v>
      </c>
      <c r="U46" t="s">
        <v>32</v>
      </c>
      <c r="V46">
        <v>1</v>
      </c>
      <c r="W46">
        <v>1</v>
      </c>
      <c r="X46">
        <v>1</v>
      </c>
      <c r="Y46">
        <v>11</v>
      </c>
      <c r="Z46" t="s">
        <v>33</v>
      </c>
    </row>
    <row r="47" spans="1:26" x14ac:dyDescent="0.3">
      <c r="A47" t="s">
        <v>65</v>
      </c>
      <c r="B47" t="s">
        <v>45</v>
      </c>
      <c r="C47">
        <v>38</v>
      </c>
      <c r="D47">
        <v>15</v>
      </c>
      <c r="E47">
        <v>52.631578947368418</v>
      </c>
      <c r="F47" t="b">
        <v>1</v>
      </c>
      <c r="G47">
        <v>67</v>
      </c>
      <c r="H47">
        <v>71.599999999999994</v>
      </c>
      <c r="I47">
        <v>78.8</v>
      </c>
      <c r="J47">
        <v>79.7</v>
      </c>
      <c r="K47">
        <v>74.274999999999991</v>
      </c>
      <c r="L47" t="s">
        <v>61</v>
      </c>
      <c r="M47">
        <v>3</v>
      </c>
      <c r="N47" t="s">
        <v>55</v>
      </c>
      <c r="O47">
        <v>16</v>
      </c>
      <c r="P47">
        <v>6</v>
      </c>
      <c r="Q47">
        <v>46</v>
      </c>
      <c r="R47" t="s">
        <v>46</v>
      </c>
      <c r="S47">
        <v>4</v>
      </c>
      <c r="T47" t="s">
        <v>47</v>
      </c>
      <c r="U47" t="s">
        <v>36</v>
      </c>
      <c r="V47">
        <v>1</v>
      </c>
      <c r="W47">
        <v>0</v>
      </c>
      <c r="X47">
        <v>0</v>
      </c>
      <c r="Y47">
        <v>6</v>
      </c>
      <c r="Z47" t="s">
        <v>37</v>
      </c>
    </row>
    <row r="48" spans="1:26" x14ac:dyDescent="0.3">
      <c r="A48" t="s">
        <v>66</v>
      </c>
      <c r="B48" t="s">
        <v>38</v>
      </c>
      <c r="C48">
        <v>37</v>
      </c>
      <c r="D48">
        <v>20</v>
      </c>
      <c r="E48">
        <v>67.567567567567565</v>
      </c>
      <c r="F48" t="b">
        <v>1</v>
      </c>
      <c r="G48">
        <v>85.8</v>
      </c>
      <c r="H48">
        <v>100</v>
      </c>
      <c r="I48">
        <v>91.4</v>
      </c>
      <c r="J48">
        <v>82.1</v>
      </c>
      <c r="K48">
        <v>89.825000000000017</v>
      </c>
      <c r="L48" t="s">
        <v>49</v>
      </c>
      <c r="M48">
        <v>5</v>
      </c>
      <c r="N48" t="s">
        <v>55</v>
      </c>
      <c r="O48">
        <v>24</v>
      </c>
      <c r="P48">
        <v>9</v>
      </c>
      <c r="Q48">
        <v>59</v>
      </c>
      <c r="R48" t="s">
        <v>30</v>
      </c>
      <c r="S48">
        <v>3</v>
      </c>
      <c r="T48" t="s">
        <v>39</v>
      </c>
      <c r="U48" t="s">
        <v>56</v>
      </c>
      <c r="V48">
        <v>1</v>
      </c>
      <c r="W48">
        <v>0</v>
      </c>
      <c r="X48">
        <v>0</v>
      </c>
      <c r="Y48">
        <v>9</v>
      </c>
      <c r="Z48" t="s">
        <v>37</v>
      </c>
    </row>
    <row r="49" spans="1:26" x14ac:dyDescent="0.3">
      <c r="A49" t="s">
        <v>66</v>
      </c>
      <c r="B49" t="s">
        <v>40</v>
      </c>
      <c r="C49">
        <v>27</v>
      </c>
      <c r="D49">
        <v>25</v>
      </c>
      <c r="E49">
        <v>70.370370370370367</v>
      </c>
      <c r="F49" t="b">
        <v>1</v>
      </c>
      <c r="G49">
        <v>72.900000000000006</v>
      </c>
      <c r="H49">
        <v>94.5</v>
      </c>
      <c r="I49">
        <v>60.4</v>
      </c>
      <c r="J49">
        <v>84.5</v>
      </c>
      <c r="K49">
        <v>78.075000000000003</v>
      </c>
      <c r="L49" t="s">
        <v>49</v>
      </c>
      <c r="M49">
        <v>5</v>
      </c>
      <c r="N49" t="s">
        <v>55</v>
      </c>
      <c r="O49">
        <v>16</v>
      </c>
      <c r="P49">
        <v>10</v>
      </c>
      <c r="Q49">
        <v>51</v>
      </c>
      <c r="R49" t="s">
        <v>30</v>
      </c>
      <c r="S49">
        <v>3</v>
      </c>
      <c r="T49" t="s">
        <v>41</v>
      </c>
      <c r="U49" t="s">
        <v>56</v>
      </c>
      <c r="V49">
        <v>1</v>
      </c>
      <c r="W49">
        <v>0</v>
      </c>
      <c r="X49">
        <v>0</v>
      </c>
      <c r="Y49">
        <v>10</v>
      </c>
      <c r="Z49" t="s">
        <v>37</v>
      </c>
    </row>
    <row r="50" spans="1:26" x14ac:dyDescent="0.3">
      <c r="A50" t="s">
        <v>66</v>
      </c>
      <c r="B50" t="s">
        <v>42</v>
      </c>
      <c r="C50">
        <v>25</v>
      </c>
      <c r="D50">
        <v>19</v>
      </c>
      <c r="E50">
        <v>64</v>
      </c>
      <c r="F50" t="b">
        <v>1</v>
      </c>
      <c r="G50">
        <v>66.3</v>
      </c>
      <c r="H50">
        <v>78.8</v>
      </c>
      <c r="I50">
        <v>95</v>
      </c>
      <c r="K50">
        <v>80.033333333333331</v>
      </c>
      <c r="L50" t="s">
        <v>49</v>
      </c>
      <c r="M50">
        <v>5</v>
      </c>
      <c r="N50" t="s">
        <v>55</v>
      </c>
      <c r="O50">
        <v>17</v>
      </c>
      <c r="P50">
        <v>13</v>
      </c>
      <c r="Q50">
        <v>51</v>
      </c>
      <c r="R50" t="s">
        <v>43</v>
      </c>
      <c r="S50">
        <v>3</v>
      </c>
      <c r="T50" t="s">
        <v>44</v>
      </c>
      <c r="U50" t="s">
        <v>56</v>
      </c>
      <c r="V50">
        <v>1</v>
      </c>
      <c r="W50">
        <v>0</v>
      </c>
      <c r="X50">
        <v>1</v>
      </c>
      <c r="Y50">
        <v>13</v>
      </c>
      <c r="Z50" t="s">
        <v>37</v>
      </c>
    </row>
    <row r="51" spans="1:26" x14ac:dyDescent="0.3">
      <c r="A51" t="s">
        <v>66</v>
      </c>
      <c r="B51" t="s">
        <v>45</v>
      </c>
      <c r="C51">
        <v>36</v>
      </c>
      <c r="D51">
        <v>16</v>
      </c>
      <c r="E51">
        <v>80.555555555555557</v>
      </c>
      <c r="F51" t="b">
        <v>1</v>
      </c>
      <c r="G51">
        <v>84.3</v>
      </c>
      <c r="H51">
        <v>86.1</v>
      </c>
      <c r="I51">
        <v>83.7</v>
      </c>
      <c r="J51">
        <v>91.8</v>
      </c>
      <c r="K51">
        <v>86.474999999999994</v>
      </c>
      <c r="L51" t="s">
        <v>49</v>
      </c>
      <c r="M51">
        <v>5</v>
      </c>
      <c r="N51" t="s">
        <v>55</v>
      </c>
      <c r="O51">
        <v>10</v>
      </c>
      <c r="P51">
        <v>11</v>
      </c>
      <c r="Q51">
        <v>29</v>
      </c>
      <c r="R51" t="s">
        <v>46</v>
      </c>
      <c r="S51">
        <v>4</v>
      </c>
      <c r="T51" t="s">
        <v>47</v>
      </c>
      <c r="U51" t="s">
        <v>56</v>
      </c>
      <c r="V51">
        <v>0</v>
      </c>
      <c r="W51">
        <v>0</v>
      </c>
      <c r="X51">
        <v>0</v>
      </c>
      <c r="Y51">
        <v>11</v>
      </c>
      <c r="Z51" t="s">
        <v>37</v>
      </c>
    </row>
    <row r="52" spans="1:26" x14ac:dyDescent="0.3">
      <c r="A52" t="s">
        <v>67</v>
      </c>
      <c r="B52" t="s">
        <v>27</v>
      </c>
      <c r="C52">
        <v>25</v>
      </c>
      <c r="D52">
        <v>29</v>
      </c>
      <c r="E52">
        <v>56.000000000000007</v>
      </c>
      <c r="F52" t="b">
        <v>1</v>
      </c>
      <c r="G52">
        <v>49.6</v>
      </c>
      <c r="H52">
        <v>55.5</v>
      </c>
      <c r="I52">
        <v>52</v>
      </c>
      <c r="J52">
        <v>66.3</v>
      </c>
      <c r="K52">
        <v>55.85</v>
      </c>
      <c r="L52" t="s">
        <v>61</v>
      </c>
      <c r="M52">
        <v>3</v>
      </c>
      <c r="N52" t="s">
        <v>50</v>
      </c>
      <c r="O52">
        <v>11</v>
      </c>
      <c r="P52">
        <v>6</v>
      </c>
      <c r="Q52">
        <v>30</v>
      </c>
      <c r="R52" t="s">
        <v>30</v>
      </c>
      <c r="S52">
        <v>4</v>
      </c>
      <c r="T52" t="s">
        <v>31</v>
      </c>
      <c r="U52" t="s">
        <v>32</v>
      </c>
      <c r="V52">
        <v>1</v>
      </c>
      <c r="W52">
        <v>0</v>
      </c>
      <c r="X52">
        <v>0</v>
      </c>
      <c r="Y52">
        <v>6</v>
      </c>
      <c r="Z52" t="s">
        <v>33</v>
      </c>
    </row>
    <row r="53" spans="1:26" x14ac:dyDescent="0.3">
      <c r="A53" t="s">
        <v>67</v>
      </c>
      <c r="B53" t="s">
        <v>51</v>
      </c>
      <c r="C53">
        <v>34</v>
      </c>
      <c r="D53">
        <v>14</v>
      </c>
      <c r="E53">
        <v>85.294117647058826</v>
      </c>
      <c r="F53" t="b">
        <v>1</v>
      </c>
      <c r="G53">
        <v>35.4</v>
      </c>
      <c r="H53">
        <v>56.5</v>
      </c>
      <c r="I53">
        <v>33.700000000000003</v>
      </c>
      <c r="J53">
        <v>51</v>
      </c>
      <c r="K53">
        <v>44.150000000000013</v>
      </c>
      <c r="L53" t="s">
        <v>61</v>
      </c>
      <c r="M53">
        <v>3</v>
      </c>
      <c r="N53" t="s">
        <v>50</v>
      </c>
      <c r="O53">
        <v>20</v>
      </c>
      <c r="P53">
        <v>9</v>
      </c>
      <c r="Q53">
        <v>50</v>
      </c>
      <c r="R53" t="s">
        <v>30</v>
      </c>
      <c r="S53">
        <v>3</v>
      </c>
      <c r="T53" t="s">
        <v>52</v>
      </c>
      <c r="U53" t="s">
        <v>32</v>
      </c>
      <c r="V53">
        <v>0</v>
      </c>
      <c r="W53">
        <v>0</v>
      </c>
      <c r="X53">
        <v>0</v>
      </c>
      <c r="Y53">
        <v>9</v>
      </c>
      <c r="Z53" t="s">
        <v>37</v>
      </c>
    </row>
    <row r="54" spans="1:26" x14ac:dyDescent="0.3">
      <c r="A54" t="s">
        <v>67</v>
      </c>
      <c r="B54" t="s">
        <v>34</v>
      </c>
      <c r="C54">
        <v>26</v>
      </c>
      <c r="D54">
        <v>29</v>
      </c>
      <c r="E54">
        <v>73.076923076923066</v>
      </c>
      <c r="F54" t="b">
        <v>1</v>
      </c>
      <c r="G54">
        <v>38.200000000000003</v>
      </c>
      <c r="H54">
        <v>58.3</v>
      </c>
      <c r="I54">
        <v>25</v>
      </c>
      <c r="J54">
        <v>59</v>
      </c>
      <c r="K54">
        <v>45.125</v>
      </c>
      <c r="L54" t="s">
        <v>61</v>
      </c>
      <c r="M54">
        <v>3</v>
      </c>
      <c r="N54" t="s">
        <v>50</v>
      </c>
      <c r="O54">
        <v>18</v>
      </c>
      <c r="P54">
        <v>8</v>
      </c>
      <c r="Q54">
        <v>67</v>
      </c>
      <c r="R54" t="s">
        <v>35</v>
      </c>
      <c r="S54">
        <v>2</v>
      </c>
      <c r="T54" t="s">
        <v>31</v>
      </c>
      <c r="U54" t="s">
        <v>32</v>
      </c>
      <c r="V54">
        <v>1</v>
      </c>
      <c r="W54">
        <v>0</v>
      </c>
      <c r="X54">
        <v>0</v>
      </c>
      <c r="Y54">
        <v>8</v>
      </c>
      <c r="Z54" t="s">
        <v>33</v>
      </c>
    </row>
    <row r="55" spans="1:26" x14ac:dyDescent="0.3">
      <c r="A55" t="s">
        <v>67</v>
      </c>
      <c r="B55" t="s">
        <v>40</v>
      </c>
      <c r="C55">
        <v>30</v>
      </c>
      <c r="D55">
        <v>19</v>
      </c>
      <c r="E55">
        <v>73.333333333333329</v>
      </c>
      <c r="F55" t="b">
        <v>1</v>
      </c>
      <c r="G55">
        <v>19.7</v>
      </c>
      <c r="H55">
        <v>37.700000000000003</v>
      </c>
      <c r="I55">
        <v>36.1</v>
      </c>
      <c r="J55">
        <v>51.7</v>
      </c>
      <c r="K55">
        <v>36.299999999999997</v>
      </c>
      <c r="L55" t="s">
        <v>61</v>
      </c>
      <c r="M55">
        <v>3</v>
      </c>
      <c r="N55" t="s">
        <v>50</v>
      </c>
      <c r="R55" t="s">
        <v>30</v>
      </c>
      <c r="S55">
        <v>3</v>
      </c>
      <c r="T55" t="s">
        <v>41</v>
      </c>
      <c r="U55" t="s">
        <v>68</v>
      </c>
      <c r="V55">
        <v>1</v>
      </c>
      <c r="W55">
        <v>1</v>
      </c>
      <c r="X55">
        <v>0</v>
      </c>
      <c r="Z55" t="s">
        <v>33</v>
      </c>
    </row>
    <row r="56" spans="1:26" x14ac:dyDescent="0.3">
      <c r="A56" t="s">
        <v>69</v>
      </c>
      <c r="B56" t="s">
        <v>27</v>
      </c>
      <c r="C56">
        <v>26</v>
      </c>
      <c r="D56">
        <v>22</v>
      </c>
      <c r="E56">
        <v>80.769230769230774</v>
      </c>
      <c r="F56" t="b">
        <v>1</v>
      </c>
      <c r="G56">
        <v>89.5</v>
      </c>
      <c r="H56">
        <v>88.8</v>
      </c>
      <c r="I56">
        <v>93.7</v>
      </c>
      <c r="J56">
        <v>88.5</v>
      </c>
      <c r="K56">
        <v>90.125</v>
      </c>
      <c r="L56" t="s">
        <v>54</v>
      </c>
      <c r="M56">
        <v>6</v>
      </c>
      <c r="N56" t="s">
        <v>29</v>
      </c>
      <c r="O56">
        <v>18</v>
      </c>
      <c r="P56">
        <v>10</v>
      </c>
      <c r="Q56">
        <v>26</v>
      </c>
      <c r="R56" t="s">
        <v>30</v>
      </c>
      <c r="S56">
        <v>4</v>
      </c>
      <c r="T56" t="s">
        <v>31</v>
      </c>
      <c r="U56" t="s">
        <v>56</v>
      </c>
      <c r="V56">
        <v>0</v>
      </c>
      <c r="W56">
        <v>0</v>
      </c>
      <c r="X56">
        <v>0</v>
      </c>
      <c r="Y56">
        <v>10</v>
      </c>
      <c r="Z56" t="s">
        <v>37</v>
      </c>
    </row>
    <row r="57" spans="1:26" x14ac:dyDescent="0.3">
      <c r="A57" t="s">
        <v>69</v>
      </c>
      <c r="B57" t="s">
        <v>34</v>
      </c>
      <c r="C57">
        <v>38</v>
      </c>
      <c r="D57">
        <v>21</v>
      </c>
      <c r="E57">
        <v>81.578947368421055</v>
      </c>
      <c r="F57" t="b">
        <v>1</v>
      </c>
      <c r="G57">
        <v>74.599999999999994</v>
      </c>
      <c r="H57">
        <v>81.900000000000006</v>
      </c>
      <c r="I57">
        <v>79.099999999999994</v>
      </c>
      <c r="J57">
        <v>90.6</v>
      </c>
      <c r="K57">
        <v>81.55</v>
      </c>
      <c r="L57" t="s">
        <v>54</v>
      </c>
      <c r="M57">
        <v>6</v>
      </c>
      <c r="N57" t="s">
        <v>29</v>
      </c>
      <c r="O57">
        <v>15</v>
      </c>
      <c r="P57">
        <v>7</v>
      </c>
      <c r="Q57">
        <v>57</v>
      </c>
      <c r="R57" t="s">
        <v>35</v>
      </c>
      <c r="S57">
        <v>2</v>
      </c>
      <c r="T57" t="s">
        <v>31</v>
      </c>
      <c r="U57" t="s">
        <v>56</v>
      </c>
      <c r="V57">
        <v>0</v>
      </c>
      <c r="W57">
        <v>0</v>
      </c>
      <c r="X57">
        <v>0</v>
      </c>
      <c r="Y57">
        <v>7</v>
      </c>
      <c r="Z57" t="s">
        <v>37</v>
      </c>
    </row>
    <row r="58" spans="1:26" x14ac:dyDescent="0.3">
      <c r="A58" t="s">
        <v>69</v>
      </c>
      <c r="B58" t="s">
        <v>38</v>
      </c>
      <c r="C58">
        <v>28</v>
      </c>
      <c r="D58">
        <v>31</v>
      </c>
      <c r="E58">
        <v>64.285714285714292</v>
      </c>
      <c r="F58" t="b">
        <v>1</v>
      </c>
      <c r="G58">
        <v>74.900000000000006</v>
      </c>
      <c r="H58">
        <v>72.8</v>
      </c>
      <c r="I58">
        <v>69.2</v>
      </c>
      <c r="J58">
        <v>97.4</v>
      </c>
      <c r="K58">
        <v>78.574999999999989</v>
      </c>
      <c r="L58" t="s">
        <v>54</v>
      </c>
      <c r="M58">
        <v>6</v>
      </c>
      <c r="N58" t="s">
        <v>29</v>
      </c>
      <c r="O58">
        <v>18</v>
      </c>
      <c r="P58">
        <v>10</v>
      </c>
      <c r="Q58">
        <v>50</v>
      </c>
      <c r="R58" t="s">
        <v>30</v>
      </c>
      <c r="S58">
        <v>3</v>
      </c>
      <c r="T58" t="s">
        <v>39</v>
      </c>
      <c r="U58" t="s">
        <v>56</v>
      </c>
      <c r="V58">
        <v>1</v>
      </c>
      <c r="W58">
        <v>0</v>
      </c>
      <c r="X58">
        <v>0</v>
      </c>
      <c r="Y58">
        <v>10</v>
      </c>
      <c r="Z58" t="s">
        <v>37</v>
      </c>
    </row>
    <row r="59" spans="1:26" x14ac:dyDescent="0.3">
      <c r="A59" t="s">
        <v>69</v>
      </c>
      <c r="B59" t="s">
        <v>40</v>
      </c>
      <c r="C59">
        <v>30</v>
      </c>
      <c r="D59">
        <v>18</v>
      </c>
      <c r="E59">
        <v>70</v>
      </c>
      <c r="F59" t="b">
        <v>1</v>
      </c>
      <c r="G59">
        <v>94.1</v>
      </c>
      <c r="H59">
        <v>100</v>
      </c>
      <c r="I59">
        <v>82.4</v>
      </c>
      <c r="J59">
        <v>92.4</v>
      </c>
      <c r="K59">
        <v>92.224999999999994</v>
      </c>
      <c r="L59" t="s">
        <v>54</v>
      </c>
      <c r="M59">
        <v>6</v>
      </c>
      <c r="N59" t="s">
        <v>29</v>
      </c>
      <c r="O59">
        <v>13</v>
      </c>
      <c r="P59">
        <v>9</v>
      </c>
      <c r="Q59">
        <v>52</v>
      </c>
      <c r="R59" t="s">
        <v>30</v>
      </c>
      <c r="S59">
        <v>3</v>
      </c>
      <c r="T59" t="s">
        <v>41</v>
      </c>
      <c r="U59" t="s">
        <v>56</v>
      </c>
      <c r="V59">
        <v>1</v>
      </c>
      <c r="W59">
        <v>0</v>
      </c>
      <c r="X59">
        <v>0</v>
      </c>
      <c r="Y59">
        <v>9</v>
      </c>
      <c r="Z59" t="s">
        <v>37</v>
      </c>
    </row>
    <row r="60" spans="1:26" x14ac:dyDescent="0.3">
      <c r="A60" t="s">
        <v>69</v>
      </c>
      <c r="B60" t="s">
        <v>57</v>
      </c>
      <c r="C60">
        <v>37</v>
      </c>
      <c r="D60">
        <v>21</v>
      </c>
      <c r="E60">
        <v>67.567567567567565</v>
      </c>
      <c r="F60" t="b">
        <v>1</v>
      </c>
      <c r="G60">
        <v>99.3</v>
      </c>
      <c r="H60">
        <v>86.2</v>
      </c>
      <c r="I60">
        <v>63.8</v>
      </c>
      <c r="J60">
        <v>85.9</v>
      </c>
      <c r="K60">
        <v>83.800000000000011</v>
      </c>
      <c r="L60" t="s">
        <v>54</v>
      </c>
      <c r="M60">
        <v>6</v>
      </c>
      <c r="N60" t="s">
        <v>29</v>
      </c>
      <c r="O60">
        <v>19</v>
      </c>
      <c r="P60">
        <v>7</v>
      </c>
      <c r="Q60">
        <v>52</v>
      </c>
      <c r="R60" t="s">
        <v>30</v>
      </c>
      <c r="S60">
        <v>4</v>
      </c>
      <c r="T60" t="s">
        <v>58</v>
      </c>
      <c r="U60" t="s">
        <v>56</v>
      </c>
      <c r="V60">
        <v>1</v>
      </c>
      <c r="W60">
        <v>0</v>
      </c>
      <c r="X60">
        <v>0</v>
      </c>
      <c r="Y60">
        <v>7</v>
      </c>
      <c r="Z60" t="s">
        <v>37</v>
      </c>
    </row>
    <row r="61" spans="1:26" x14ac:dyDescent="0.3">
      <c r="A61" t="s">
        <v>69</v>
      </c>
      <c r="B61" t="s">
        <v>42</v>
      </c>
      <c r="C61">
        <v>26</v>
      </c>
      <c r="D61">
        <v>25</v>
      </c>
      <c r="E61">
        <v>23.07692307692308</v>
      </c>
      <c r="F61" t="b">
        <v>1</v>
      </c>
      <c r="G61">
        <v>74.599999999999994</v>
      </c>
      <c r="H61">
        <v>79</v>
      </c>
      <c r="I61">
        <v>50.9</v>
      </c>
      <c r="J61">
        <v>69.8</v>
      </c>
      <c r="K61">
        <v>68.575000000000003</v>
      </c>
      <c r="L61" t="s">
        <v>54</v>
      </c>
      <c r="M61">
        <v>6</v>
      </c>
      <c r="N61" t="s">
        <v>29</v>
      </c>
      <c r="O61">
        <v>22</v>
      </c>
      <c r="P61">
        <v>9</v>
      </c>
      <c r="Q61">
        <v>80</v>
      </c>
      <c r="R61" t="s">
        <v>43</v>
      </c>
      <c r="S61">
        <v>3</v>
      </c>
      <c r="T61" t="s">
        <v>44</v>
      </c>
      <c r="U61" t="s">
        <v>36</v>
      </c>
      <c r="V61">
        <v>1</v>
      </c>
      <c r="W61">
        <v>0</v>
      </c>
      <c r="X61">
        <v>0</v>
      </c>
      <c r="Y61">
        <v>9</v>
      </c>
      <c r="Z61" t="s">
        <v>37</v>
      </c>
    </row>
    <row r="62" spans="1:26" x14ac:dyDescent="0.3">
      <c r="A62" t="s">
        <v>70</v>
      </c>
      <c r="B62" t="s">
        <v>27</v>
      </c>
      <c r="C62">
        <v>39</v>
      </c>
      <c r="D62">
        <v>6</v>
      </c>
      <c r="E62">
        <v>79.487179487179489</v>
      </c>
      <c r="F62" t="b">
        <v>1</v>
      </c>
      <c r="G62">
        <v>37.299999999999997</v>
      </c>
      <c r="H62">
        <v>51.7</v>
      </c>
      <c r="I62">
        <v>40.799999999999997</v>
      </c>
      <c r="J62">
        <v>64.599999999999994</v>
      </c>
      <c r="K62">
        <v>48.6</v>
      </c>
      <c r="L62" t="s">
        <v>28</v>
      </c>
      <c r="M62">
        <v>5</v>
      </c>
      <c r="N62" t="s">
        <v>50</v>
      </c>
      <c r="O62">
        <v>17</v>
      </c>
      <c r="P62">
        <v>8</v>
      </c>
      <c r="Q62">
        <v>56</v>
      </c>
      <c r="R62" t="s">
        <v>30</v>
      </c>
      <c r="S62">
        <v>4</v>
      </c>
      <c r="T62" t="s">
        <v>31</v>
      </c>
      <c r="U62" t="s">
        <v>32</v>
      </c>
      <c r="V62">
        <v>0</v>
      </c>
      <c r="W62">
        <v>0</v>
      </c>
      <c r="X62">
        <v>0</v>
      </c>
      <c r="Y62">
        <v>8</v>
      </c>
      <c r="Z62" t="s">
        <v>37</v>
      </c>
    </row>
    <row r="63" spans="1:26" x14ac:dyDescent="0.3">
      <c r="A63" t="s">
        <v>70</v>
      </c>
      <c r="B63" t="s">
        <v>34</v>
      </c>
      <c r="C63">
        <v>30</v>
      </c>
      <c r="D63">
        <v>31</v>
      </c>
      <c r="E63">
        <v>83.333333333333343</v>
      </c>
      <c r="F63" t="b">
        <v>1</v>
      </c>
      <c r="G63">
        <v>64.900000000000006</v>
      </c>
      <c r="H63">
        <v>74.7</v>
      </c>
      <c r="I63">
        <v>74.900000000000006</v>
      </c>
      <c r="J63">
        <v>74.3</v>
      </c>
      <c r="K63">
        <v>72.2</v>
      </c>
      <c r="L63" t="s">
        <v>28</v>
      </c>
      <c r="M63">
        <v>5</v>
      </c>
      <c r="N63" t="s">
        <v>50</v>
      </c>
      <c r="O63">
        <v>20</v>
      </c>
      <c r="P63">
        <v>10</v>
      </c>
      <c r="Q63">
        <v>55</v>
      </c>
      <c r="R63" t="s">
        <v>35</v>
      </c>
      <c r="S63">
        <v>2</v>
      </c>
      <c r="T63" t="s">
        <v>31</v>
      </c>
      <c r="U63" t="s">
        <v>36</v>
      </c>
      <c r="V63">
        <v>0</v>
      </c>
      <c r="W63">
        <v>0</v>
      </c>
      <c r="X63">
        <v>0</v>
      </c>
      <c r="Y63">
        <v>10</v>
      </c>
      <c r="Z63" t="s">
        <v>37</v>
      </c>
    </row>
    <row r="64" spans="1:26" x14ac:dyDescent="0.3">
      <c r="A64" t="s">
        <v>70</v>
      </c>
      <c r="B64" t="s">
        <v>38</v>
      </c>
      <c r="C64">
        <v>29</v>
      </c>
      <c r="D64">
        <v>25</v>
      </c>
      <c r="E64">
        <v>65.517241379310349</v>
      </c>
      <c r="F64" t="b">
        <v>1</v>
      </c>
      <c r="G64">
        <v>67.8</v>
      </c>
      <c r="H64">
        <v>74.599999999999994</v>
      </c>
      <c r="I64">
        <v>41.7</v>
      </c>
      <c r="J64">
        <v>73.3</v>
      </c>
      <c r="K64">
        <v>64.349999999999994</v>
      </c>
      <c r="L64" t="s">
        <v>28</v>
      </c>
      <c r="M64">
        <v>5</v>
      </c>
      <c r="N64" t="s">
        <v>50</v>
      </c>
      <c r="O64">
        <v>16</v>
      </c>
      <c r="P64">
        <v>8</v>
      </c>
      <c r="Q64">
        <v>57</v>
      </c>
      <c r="R64" t="s">
        <v>30</v>
      </c>
      <c r="S64">
        <v>3</v>
      </c>
      <c r="T64" t="s">
        <v>39</v>
      </c>
      <c r="U64" t="s">
        <v>36</v>
      </c>
      <c r="V64">
        <v>1</v>
      </c>
      <c r="W64">
        <v>0</v>
      </c>
      <c r="X64">
        <v>0</v>
      </c>
      <c r="Y64">
        <v>8</v>
      </c>
      <c r="Z64" t="s">
        <v>37</v>
      </c>
    </row>
    <row r="65" spans="1:26" x14ac:dyDescent="0.3">
      <c r="A65" t="s">
        <v>70</v>
      </c>
      <c r="B65" t="s">
        <v>40</v>
      </c>
      <c r="C65">
        <v>40</v>
      </c>
      <c r="D65">
        <v>19</v>
      </c>
      <c r="E65">
        <v>52.5</v>
      </c>
      <c r="F65" t="b">
        <v>1</v>
      </c>
      <c r="G65">
        <v>65.2</v>
      </c>
      <c r="H65">
        <v>62.6</v>
      </c>
      <c r="I65">
        <v>60.3</v>
      </c>
      <c r="J65">
        <v>70.599999999999994</v>
      </c>
      <c r="K65">
        <v>64.675000000000011</v>
      </c>
      <c r="L65" t="s">
        <v>28</v>
      </c>
      <c r="M65">
        <v>5</v>
      </c>
      <c r="N65" t="s">
        <v>50</v>
      </c>
      <c r="O65">
        <v>14</v>
      </c>
      <c r="P65">
        <v>10</v>
      </c>
      <c r="Q65">
        <v>49</v>
      </c>
      <c r="R65" t="s">
        <v>30</v>
      </c>
      <c r="S65">
        <v>3</v>
      </c>
      <c r="T65" t="s">
        <v>41</v>
      </c>
      <c r="U65" t="s">
        <v>36</v>
      </c>
      <c r="V65">
        <v>1</v>
      </c>
      <c r="W65">
        <v>0</v>
      </c>
      <c r="X65">
        <v>0</v>
      </c>
      <c r="Y65">
        <v>10</v>
      </c>
      <c r="Z65" t="s">
        <v>37</v>
      </c>
    </row>
    <row r="66" spans="1:26" x14ac:dyDescent="0.3">
      <c r="A66" t="s">
        <v>71</v>
      </c>
      <c r="B66" t="s">
        <v>51</v>
      </c>
      <c r="C66">
        <v>25</v>
      </c>
      <c r="D66">
        <v>21</v>
      </c>
      <c r="E66">
        <v>48</v>
      </c>
      <c r="F66" t="b">
        <v>1</v>
      </c>
      <c r="G66">
        <v>78.599999999999994</v>
      </c>
      <c r="H66">
        <v>85.9</v>
      </c>
      <c r="I66">
        <v>76.400000000000006</v>
      </c>
      <c r="J66">
        <v>87.8</v>
      </c>
      <c r="K66">
        <v>82.174999999999997</v>
      </c>
      <c r="L66" t="s">
        <v>28</v>
      </c>
      <c r="M66">
        <v>4</v>
      </c>
      <c r="N66" t="s">
        <v>55</v>
      </c>
      <c r="O66">
        <v>16</v>
      </c>
      <c r="P66">
        <v>12</v>
      </c>
      <c r="Q66">
        <v>45</v>
      </c>
      <c r="R66" t="s">
        <v>30</v>
      </c>
      <c r="S66">
        <v>3</v>
      </c>
      <c r="T66" t="s">
        <v>52</v>
      </c>
      <c r="U66" t="s">
        <v>56</v>
      </c>
      <c r="V66">
        <v>1</v>
      </c>
      <c r="W66">
        <v>0</v>
      </c>
      <c r="X66">
        <v>0</v>
      </c>
      <c r="Y66">
        <v>12</v>
      </c>
      <c r="Z66" t="s">
        <v>37</v>
      </c>
    </row>
    <row r="67" spans="1:26" x14ac:dyDescent="0.3">
      <c r="A67" t="s">
        <v>71</v>
      </c>
      <c r="B67" t="s">
        <v>34</v>
      </c>
      <c r="C67">
        <v>30</v>
      </c>
      <c r="D67">
        <v>12</v>
      </c>
      <c r="E67">
        <v>56.666666666666657</v>
      </c>
      <c r="F67" t="b">
        <v>1</v>
      </c>
      <c r="G67">
        <v>58.7</v>
      </c>
      <c r="H67">
        <v>75.5</v>
      </c>
      <c r="I67">
        <v>49.7</v>
      </c>
      <c r="J67">
        <v>76.099999999999994</v>
      </c>
      <c r="K67">
        <v>65</v>
      </c>
      <c r="L67" t="s">
        <v>28</v>
      </c>
      <c r="M67">
        <v>4</v>
      </c>
      <c r="N67" t="s">
        <v>55</v>
      </c>
      <c r="O67">
        <v>11</v>
      </c>
      <c r="P67">
        <v>9</v>
      </c>
      <c r="Q67">
        <v>41</v>
      </c>
      <c r="R67" t="s">
        <v>35</v>
      </c>
      <c r="S67">
        <v>2</v>
      </c>
      <c r="T67" t="s">
        <v>31</v>
      </c>
      <c r="U67" t="s">
        <v>36</v>
      </c>
      <c r="V67">
        <v>1</v>
      </c>
      <c r="W67">
        <v>0</v>
      </c>
      <c r="X67">
        <v>0</v>
      </c>
      <c r="Y67">
        <v>9</v>
      </c>
      <c r="Z67" t="s">
        <v>37</v>
      </c>
    </row>
    <row r="68" spans="1:26" x14ac:dyDescent="0.3">
      <c r="A68" t="s">
        <v>71</v>
      </c>
      <c r="B68" t="s">
        <v>42</v>
      </c>
      <c r="C68">
        <v>33</v>
      </c>
      <c r="D68">
        <v>17</v>
      </c>
      <c r="E68">
        <v>63.636363636363633</v>
      </c>
      <c r="F68" t="b">
        <v>1</v>
      </c>
      <c r="G68">
        <v>67.7</v>
      </c>
      <c r="H68">
        <v>87.4</v>
      </c>
      <c r="I68">
        <v>81.8</v>
      </c>
      <c r="J68">
        <v>72.8</v>
      </c>
      <c r="K68">
        <v>77.425000000000011</v>
      </c>
      <c r="L68" t="s">
        <v>28</v>
      </c>
      <c r="M68">
        <v>4</v>
      </c>
      <c r="N68" t="s">
        <v>55</v>
      </c>
      <c r="O68">
        <v>23</v>
      </c>
      <c r="P68">
        <v>10</v>
      </c>
      <c r="Q68">
        <v>62</v>
      </c>
      <c r="R68" t="s">
        <v>43</v>
      </c>
      <c r="S68">
        <v>3</v>
      </c>
      <c r="T68" t="s">
        <v>44</v>
      </c>
      <c r="U68" t="s">
        <v>56</v>
      </c>
      <c r="V68">
        <v>1</v>
      </c>
      <c r="W68">
        <v>0</v>
      </c>
      <c r="X68">
        <v>0</v>
      </c>
      <c r="Y68">
        <v>10</v>
      </c>
      <c r="Z68" t="s">
        <v>37</v>
      </c>
    </row>
    <row r="69" spans="1:26" x14ac:dyDescent="0.3">
      <c r="A69" t="s">
        <v>71</v>
      </c>
      <c r="B69" t="s">
        <v>45</v>
      </c>
      <c r="C69">
        <v>35</v>
      </c>
      <c r="D69">
        <v>21</v>
      </c>
      <c r="E69">
        <v>60</v>
      </c>
      <c r="F69" t="b">
        <v>1</v>
      </c>
      <c r="G69">
        <v>59</v>
      </c>
      <c r="H69">
        <v>63.5</v>
      </c>
      <c r="I69">
        <v>71.2</v>
      </c>
      <c r="J69">
        <v>76.2</v>
      </c>
      <c r="K69">
        <v>67.474999999999994</v>
      </c>
      <c r="L69" t="s">
        <v>28</v>
      </c>
      <c r="M69">
        <v>4</v>
      </c>
      <c r="N69" t="s">
        <v>55</v>
      </c>
      <c r="O69">
        <v>19</v>
      </c>
      <c r="P69">
        <v>8</v>
      </c>
      <c r="Q69">
        <v>59</v>
      </c>
      <c r="R69" t="s">
        <v>46</v>
      </c>
      <c r="S69">
        <v>4</v>
      </c>
      <c r="T69" t="s">
        <v>47</v>
      </c>
      <c r="U69" t="s">
        <v>36</v>
      </c>
      <c r="V69">
        <v>1</v>
      </c>
      <c r="W69">
        <v>0</v>
      </c>
      <c r="X69">
        <v>0</v>
      </c>
      <c r="Y69">
        <v>8</v>
      </c>
      <c r="Z69" t="s">
        <v>37</v>
      </c>
    </row>
    <row r="70" spans="1:26" x14ac:dyDescent="0.3">
      <c r="A70" t="s">
        <v>72</v>
      </c>
      <c r="B70" t="s">
        <v>27</v>
      </c>
      <c r="C70">
        <v>36</v>
      </c>
      <c r="D70">
        <v>21</v>
      </c>
      <c r="E70">
        <v>58.333333333333343</v>
      </c>
      <c r="F70" t="b">
        <v>1</v>
      </c>
      <c r="G70">
        <v>96.3</v>
      </c>
      <c r="H70">
        <v>100</v>
      </c>
      <c r="I70">
        <v>80.400000000000006</v>
      </c>
      <c r="J70">
        <v>82.9</v>
      </c>
      <c r="K70">
        <v>89.9</v>
      </c>
      <c r="L70" t="s">
        <v>49</v>
      </c>
      <c r="M70">
        <v>5</v>
      </c>
      <c r="N70" t="s">
        <v>55</v>
      </c>
      <c r="O70">
        <v>17</v>
      </c>
      <c r="P70">
        <v>10</v>
      </c>
      <c r="Q70">
        <v>51</v>
      </c>
      <c r="R70" t="s">
        <v>30</v>
      </c>
      <c r="S70">
        <v>4</v>
      </c>
      <c r="T70" t="s">
        <v>31</v>
      </c>
      <c r="U70" t="s">
        <v>56</v>
      </c>
      <c r="V70">
        <v>1</v>
      </c>
      <c r="W70">
        <v>0</v>
      </c>
      <c r="X70">
        <v>0</v>
      </c>
      <c r="Y70">
        <v>10</v>
      </c>
      <c r="Z70" t="s">
        <v>37</v>
      </c>
    </row>
    <row r="71" spans="1:26" x14ac:dyDescent="0.3">
      <c r="A71" t="s">
        <v>72</v>
      </c>
      <c r="B71" t="s">
        <v>34</v>
      </c>
      <c r="C71">
        <v>39</v>
      </c>
      <c r="D71">
        <v>21</v>
      </c>
      <c r="E71">
        <v>76.923076923076934</v>
      </c>
      <c r="F71" t="b">
        <v>1</v>
      </c>
      <c r="G71">
        <v>71.2</v>
      </c>
      <c r="H71">
        <v>83.4</v>
      </c>
      <c r="I71">
        <v>87.5</v>
      </c>
      <c r="J71">
        <v>87</v>
      </c>
      <c r="K71">
        <v>82.275000000000006</v>
      </c>
      <c r="L71" t="s">
        <v>49</v>
      </c>
      <c r="M71">
        <v>5</v>
      </c>
      <c r="N71" t="s">
        <v>55</v>
      </c>
      <c r="O71">
        <v>16</v>
      </c>
      <c r="P71">
        <v>12</v>
      </c>
      <c r="Q71">
        <v>63</v>
      </c>
      <c r="R71" t="s">
        <v>35</v>
      </c>
      <c r="S71">
        <v>2</v>
      </c>
      <c r="T71" t="s">
        <v>31</v>
      </c>
      <c r="U71" t="s">
        <v>56</v>
      </c>
      <c r="V71">
        <v>0</v>
      </c>
      <c r="W71">
        <v>0</v>
      </c>
      <c r="X71">
        <v>0</v>
      </c>
      <c r="Y71">
        <v>12</v>
      </c>
      <c r="Z71" t="s">
        <v>37</v>
      </c>
    </row>
    <row r="72" spans="1:26" x14ac:dyDescent="0.3">
      <c r="A72" t="s">
        <v>72</v>
      </c>
      <c r="B72" t="s">
        <v>40</v>
      </c>
      <c r="C72">
        <v>35</v>
      </c>
      <c r="D72">
        <v>30</v>
      </c>
      <c r="E72">
        <v>82.857142857142861</v>
      </c>
      <c r="F72" t="b">
        <v>1</v>
      </c>
      <c r="G72">
        <v>99.5</v>
      </c>
      <c r="H72">
        <v>97.1</v>
      </c>
      <c r="J72">
        <v>97.6</v>
      </c>
      <c r="K72">
        <v>98.066666666666663</v>
      </c>
      <c r="L72" t="s">
        <v>49</v>
      </c>
      <c r="M72">
        <v>5</v>
      </c>
      <c r="N72" t="s">
        <v>55</v>
      </c>
      <c r="O72">
        <v>15</v>
      </c>
      <c r="P72">
        <v>11</v>
      </c>
      <c r="Q72">
        <v>35</v>
      </c>
      <c r="R72" t="s">
        <v>30</v>
      </c>
      <c r="S72">
        <v>3</v>
      </c>
      <c r="T72" t="s">
        <v>41</v>
      </c>
      <c r="U72" t="s">
        <v>56</v>
      </c>
      <c r="V72">
        <v>0</v>
      </c>
      <c r="W72">
        <v>0</v>
      </c>
      <c r="X72">
        <v>1</v>
      </c>
      <c r="Y72">
        <v>11</v>
      </c>
      <c r="Z72" t="s">
        <v>37</v>
      </c>
    </row>
    <row r="73" spans="1:26" x14ac:dyDescent="0.3">
      <c r="A73" t="s">
        <v>72</v>
      </c>
      <c r="B73" t="s">
        <v>57</v>
      </c>
      <c r="C73">
        <v>38</v>
      </c>
      <c r="D73">
        <v>29</v>
      </c>
      <c r="E73">
        <v>86.842105263157904</v>
      </c>
      <c r="F73" t="b">
        <v>1</v>
      </c>
      <c r="G73">
        <v>79.099999999999994</v>
      </c>
      <c r="H73">
        <v>90.3</v>
      </c>
      <c r="I73">
        <v>79.8</v>
      </c>
      <c r="J73">
        <v>88.9</v>
      </c>
      <c r="K73">
        <v>84.525000000000006</v>
      </c>
      <c r="L73" t="s">
        <v>49</v>
      </c>
      <c r="M73">
        <v>5</v>
      </c>
      <c r="N73" t="s">
        <v>55</v>
      </c>
      <c r="O73">
        <v>18</v>
      </c>
      <c r="P73">
        <v>7</v>
      </c>
      <c r="Q73">
        <v>39</v>
      </c>
      <c r="R73" t="s">
        <v>30</v>
      </c>
      <c r="S73">
        <v>4</v>
      </c>
      <c r="T73" t="s">
        <v>58</v>
      </c>
      <c r="U73" t="s">
        <v>56</v>
      </c>
      <c r="V73">
        <v>0</v>
      </c>
      <c r="W73">
        <v>0</v>
      </c>
      <c r="X73">
        <v>0</v>
      </c>
      <c r="Y73">
        <v>7</v>
      </c>
      <c r="Z73" t="s">
        <v>37</v>
      </c>
    </row>
    <row r="74" spans="1:26" x14ac:dyDescent="0.3">
      <c r="A74" t="s">
        <v>72</v>
      </c>
      <c r="B74" t="s">
        <v>42</v>
      </c>
      <c r="C74">
        <v>38</v>
      </c>
      <c r="D74">
        <v>33</v>
      </c>
      <c r="E74">
        <v>68.421052631578945</v>
      </c>
      <c r="F74" t="b">
        <v>1</v>
      </c>
      <c r="G74">
        <v>65.400000000000006</v>
      </c>
      <c r="H74">
        <v>81.400000000000006</v>
      </c>
      <c r="I74">
        <v>54.4</v>
      </c>
      <c r="J74">
        <v>77.5</v>
      </c>
      <c r="K74">
        <v>69.675000000000011</v>
      </c>
      <c r="L74" t="s">
        <v>49</v>
      </c>
      <c r="M74">
        <v>5</v>
      </c>
      <c r="N74" t="s">
        <v>55</v>
      </c>
      <c r="O74">
        <v>20</v>
      </c>
      <c r="P74">
        <v>12</v>
      </c>
      <c r="Q74">
        <v>81</v>
      </c>
      <c r="R74" t="s">
        <v>43</v>
      </c>
      <c r="S74">
        <v>3</v>
      </c>
      <c r="T74" t="s">
        <v>44</v>
      </c>
      <c r="U74" t="s">
        <v>36</v>
      </c>
      <c r="V74">
        <v>1</v>
      </c>
      <c r="W74">
        <v>0</v>
      </c>
      <c r="X74">
        <v>0</v>
      </c>
      <c r="Y74">
        <v>12</v>
      </c>
      <c r="Z74" t="s">
        <v>37</v>
      </c>
    </row>
    <row r="75" spans="1:26" x14ac:dyDescent="0.3">
      <c r="A75" t="s">
        <v>73</v>
      </c>
      <c r="B75" t="s">
        <v>27</v>
      </c>
      <c r="C75">
        <v>31</v>
      </c>
      <c r="D75">
        <v>26</v>
      </c>
      <c r="E75">
        <v>70.967741935483872</v>
      </c>
      <c r="F75" t="b">
        <v>1</v>
      </c>
      <c r="G75">
        <v>87.8</v>
      </c>
      <c r="H75">
        <v>83.9</v>
      </c>
      <c r="I75">
        <v>92.3</v>
      </c>
      <c r="J75">
        <v>92.5</v>
      </c>
      <c r="K75">
        <v>89.125</v>
      </c>
      <c r="L75" t="s">
        <v>61</v>
      </c>
      <c r="M75">
        <v>3</v>
      </c>
      <c r="N75" t="s">
        <v>50</v>
      </c>
      <c r="O75">
        <v>19</v>
      </c>
      <c r="P75">
        <v>13</v>
      </c>
      <c r="Q75">
        <v>32</v>
      </c>
      <c r="R75" t="s">
        <v>30</v>
      </c>
      <c r="S75">
        <v>4</v>
      </c>
      <c r="T75" t="s">
        <v>31</v>
      </c>
      <c r="U75" t="s">
        <v>56</v>
      </c>
      <c r="V75">
        <v>1</v>
      </c>
      <c r="W75">
        <v>0</v>
      </c>
      <c r="X75">
        <v>0</v>
      </c>
      <c r="Y75">
        <v>13</v>
      </c>
      <c r="Z75" t="s">
        <v>37</v>
      </c>
    </row>
    <row r="76" spans="1:26" x14ac:dyDescent="0.3">
      <c r="A76" t="s">
        <v>73</v>
      </c>
      <c r="B76" t="s">
        <v>51</v>
      </c>
      <c r="C76">
        <v>36</v>
      </c>
      <c r="D76">
        <v>22</v>
      </c>
      <c r="E76">
        <v>38.888888888888893</v>
      </c>
      <c r="F76" t="b">
        <v>1</v>
      </c>
      <c r="G76">
        <v>63.2</v>
      </c>
      <c r="H76">
        <v>74.900000000000006</v>
      </c>
      <c r="I76">
        <v>77.400000000000006</v>
      </c>
      <c r="J76">
        <v>81</v>
      </c>
      <c r="K76">
        <v>74.125</v>
      </c>
      <c r="L76" t="s">
        <v>61</v>
      </c>
      <c r="M76">
        <v>3</v>
      </c>
      <c r="N76" t="s">
        <v>50</v>
      </c>
      <c r="O76">
        <v>15</v>
      </c>
      <c r="P76">
        <v>12</v>
      </c>
      <c r="Q76">
        <v>56</v>
      </c>
      <c r="R76" t="s">
        <v>30</v>
      </c>
      <c r="S76">
        <v>3</v>
      </c>
      <c r="T76" t="s">
        <v>52</v>
      </c>
      <c r="U76" t="s">
        <v>36</v>
      </c>
      <c r="V76">
        <v>1</v>
      </c>
      <c r="W76">
        <v>0</v>
      </c>
      <c r="X76">
        <v>0</v>
      </c>
      <c r="Y76">
        <v>12</v>
      </c>
      <c r="Z76" t="s">
        <v>37</v>
      </c>
    </row>
    <row r="77" spans="1:26" x14ac:dyDescent="0.3">
      <c r="A77" t="s">
        <v>73</v>
      </c>
      <c r="B77" t="s">
        <v>38</v>
      </c>
      <c r="C77">
        <v>27</v>
      </c>
      <c r="D77">
        <v>14</v>
      </c>
      <c r="E77">
        <v>59.259259259259252</v>
      </c>
      <c r="F77" t="b">
        <v>1</v>
      </c>
      <c r="G77">
        <v>76.3</v>
      </c>
      <c r="H77">
        <v>80.900000000000006</v>
      </c>
      <c r="I77">
        <v>100</v>
      </c>
      <c r="J77">
        <v>84.7</v>
      </c>
      <c r="K77">
        <v>85.474999999999994</v>
      </c>
      <c r="L77" t="s">
        <v>61</v>
      </c>
      <c r="M77">
        <v>3</v>
      </c>
      <c r="N77" t="s">
        <v>50</v>
      </c>
      <c r="O77">
        <v>17</v>
      </c>
      <c r="P77">
        <v>5</v>
      </c>
      <c r="Q77">
        <v>43</v>
      </c>
      <c r="R77" t="s">
        <v>30</v>
      </c>
      <c r="S77">
        <v>3</v>
      </c>
      <c r="T77" t="s">
        <v>39</v>
      </c>
      <c r="U77" t="s">
        <v>56</v>
      </c>
      <c r="V77">
        <v>1</v>
      </c>
      <c r="W77">
        <v>0</v>
      </c>
      <c r="X77">
        <v>0</v>
      </c>
      <c r="Y77">
        <v>5</v>
      </c>
      <c r="Z77" t="s">
        <v>37</v>
      </c>
    </row>
    <row r="78" spans="1:26" x14ac:dyDescent="0.3">
      <c r="A78" t="s">
        <v>73</v>
      </c>
      <c r="B78" t="s">
        <v>57</v>
      </c>
      <c r="C78">
        <v>24</v>
      </c>
      <c r="D78">
        <v>16</v>
      </c>
      <c r="E78">
        <v>66.666666666666657</v>
      </c>
      <c r="F78" t="b">
        <v>1</v>
      </c>
      <c r="G78">
        <v>92.9</v>
      </c>
      <c r="H78">
        <v>79.7</v>
      </c>
      <c r="I78">
        <v>92.3</v>
      </c>
      <c r="J78">
        <v>83.9</v>
      </c>
      <c r="K78">
        <v>87.200000000000017</v>
      </c>
      <c r="L78" t="s">
        <v>61</v>
      </c>
      <c r="M78">
        <v>3</v>
      </c>
      <c r="N78" t="s">
        <v>50</v>
      </c>
      <c r="O78">
        <v>19</v>
      </c>
      <c r="P78">
        <v>9</v>
      </c>
      <c r="Q78">
        <v>54</v>
      </c>
      <c r="R78" t="s">
        <v>30</v>
      </c>
      <c r="S78">
        <v>4</v>
      </c>
      <c r="T78" t="s">
        <v>58</v>
      </c>
      <c r="U78" t="s">
        <v>56</v>
      </c>
      <c r="V78">
        <v>1</v>
      </c>
      <c r="W78">
        <v>0</v>
      </c>
      <c r="X78">
        <v>0</v>
      </c>
      <c r="Y78">
        <v>9</v>
      </c>
      <c r="Z78" t="s">
        <v>37</v>
      </c>
    </row>
    <row r="79" spans="1:26" x14ac:dyDescent="0.3">
      <c r="A79" t="s">
        <v>74</v>
      </c>
      <c r="B79" t="s">
        <v>27</v>
      </c>
      <c r="C79">
        <v>30</v>
      </c>
      <c r="D79">
        <v>16</v>
      </c>
      <c r="E79">
        <v>36.666666666666657</v>
      </c>
      <c r="F79" t="b">
        <v>1</v>
      </c>
      <c r="H79">
        <v>56.1</v>
      </c>
      <c r="I79">
        <v>41</v>
      </c>
      <c r="J79">
        <v>65.8</v>
      </c>
      <c r="K79">
        <v>54.29999999999999</v>
      </c>
      <c r="L79" t="s">
        <v>49</v>
      </c>
      <c r="M79">
        <v>6</v>
      </c>
      <c r="N79" t="s">
        <v>29</v>
      </c>
      <c r="O79">
        <v>19</v>
      </c>
      <c r="P79">
        <v>7</v>
      </c>
      <c r="Q79">
        <v>61</v>
      </c>
      <c r="R79" t="s">
        <v>30</v>
      </c>
      <c r="S79">
        <v>4</v>
      </c>
      <c r="T79" t="s">
        <v>31</v>
      </c>
      <c r="U79" t="s">
        <v>32</v>
      </c>
      <c r="V79">
        <v>1</v>
      </c>
      <c r="W79">
        <v>0</v>
      </c>
      <c r="X79">
        <v>1</v>
      </c>
      <c r="Y79">
        <v>7</v>
      </c>
      <c r="Z79" t="s">
        <v>33</v>
      </c>
    </row>
    <row r="80" spans="1:26" x14ac:dyDescent="0.3">
      <c r="A80" t="s">
        <v>74</v>
      </c>
      <c r="B80" t="s">
        <v>38</v>
      </c>
      <c r="C80">
        <v>24</v>
      </c>
      <c r="D80">
        <v>11</v>
      </c>
      <c r="E80">
        <v>79.166666666666657</v>
      </c>
      <c r="F80" t="b">
        <v>1</v>
      </c>
      <c r="G80">
        <v>41.6</v>
      </c>
      <c r="H80">
        <v>52.1</v>
      </c>
      <c r="I80">
        <v>75.2</v>
      </c>
      <c r="J80">
        <v>53.8</v>
      </c>
      <c r="K80">
        <v>55.674999999999997</v>
      </c>
      <c r="L80" t="s">
        <v>49</v>
      </c>
      <c r="M80">
        <v>6</v>
      </c>
      <c r="N80" t="s">
        <v>29</v>
      </c>
      <c r="O80">
        <v>11</v>
      </c>
      <c r="P80">
        <v>7</v>
      </c>
      <c r="Q80">
        <v>44</v>
      </c>
      <c r="R80" t="s">
        <v>30</v>
      </c>
      <c r="S80">
        <v>3</v>
      </c>
      <c r="T80" t="s">
        <v>39</v>
      </c>
      <c r="U80" t="s">
        <v>32</v>
      </c>
      <c r="V80">
        <v>0</v>
      </c>
      <c r="W80">
        <v>0</v>
      </c>
      <c r="X80">
        <v>0</v>
      </c>
      <c r="Y80">
        <v>7</v>
      </c>
      <c r="Z80" t="s">
        <v>37</v>
      </c>
    </row>
    <row r="81" spans="1:26" x14ac:dyDescent="0.3">
      <c r="A81" t="s">
        <v>74</v>
      </c>
      <c r="B81" t="s">
        <v>40</v>
      </c>
      <c r="C81">
        <v>33</v>
      </c>
      <c r="D81">
        <v>19</v>
      </c>
      <c r="E81">
        <v>36.363636363636367</v>
      </c>
      <c r="F81" t="b">
        <v>1</v>
      </c>
      <c r="G81">
        <v>44.5</v>
      </c>
      <c r="H81">
        <v>51.4</v>
      </c>
      <c r="I81">
        <v>46.6</v>
      </c>
      <c r="J81">
        <v>37.9</v>
      </c>
      <c r="K81">
        <v>45.1</v>
      </c>
      <c r="L81" t="s">
        <v>49</v>
      </c>
      <c r="M81">
        <v>6</v>
      </c>
      <c r="N81" t="s">
        <v>29</v>
      </c>
      <c r="O81">
        <v>18</v>
      </c>
      <c r="P81">
        <v>6</v>
      </c>
      <c r="Q81">
        <v>58</v>
      </c>
      <c r="R81" t="s">
        <v>30</v>
      </c>
      <c r="S81">
        <v>3</v>
      </c>
      <c r="T81" t="s">
        <v>41</v>
      </c>
      <c r="U81" t="s">
        <v>32</v>
      </c>
      <c r="V81">
        <v>1</v>
      </c>
      <c r="W81">
        <v>0</v>
      </c>
      <c r="X81">
        <v>0</v>
      </c>
      <c r="Y81">
        <v>6</v>
      </c>
      <c r="Z81" t="s">
        <v>33</v>
      </c>
    </row>
    <row r="82" spans="1:26" x14ac:dyDescent="0.3">
      <c r="A82" t="s">
        <v>74</v>
      </c>
      <c r="B82" t="s">
        <v>57</v>
      </c>
      <c r="C82">
        <v>25</v>
      </c>
      <c r="D82">
        <v>12</v>
      </c>
      <c r="E82">
        <v>48</v>
      </c>
      <c r="F82" t="b">
        <v>1</v>
      </c>
      <c r="G82">
        <v>34.700000000000003</v>
      </c>
      <c r="H82">
        <v>39.4</v>
      </c>
      <c r="I82">
        <v>73.099999999999994</v>
      </c>
      <c r="J82">
        <v>52.9</v>
      </c>
      <c r="K82">
        <v>50.024999999999999</v>
      </c>
      <c r="L82" t="s">
        <v>49</v>
      </c>
      <c r="M82">
        <v>6</v>
      </c>
      <c r="N82" t="s">
        <v>29</v>
      </c>
      <c r="O82">
        <v>20</v>
      </c>
      <c r="P82">
        <v>7</v>
      </c>
      <c r="Q82">
        <v>54</v>
      </c>
      <c r="R82" t="s">
        <v>30</v>
      </c>
      <c r="S82">
        <v>4</v>
      </c>
      <c r="T82" t="s">
        <v>58</v>
      </c>
      <c r="U82" t="s">
        <v>32</v>
      </c>
      <c r="V82">
        <v>1</v>
      </c>
      <c r="W82">
        <v>0</v>
      </c>
      <c r="X82">
        <v>0</v>
      </c>
      <c r="Y82">
        <v>7</v>
      </c>
      <c r="Z82" t="s">
        <v>33</v>
      </c>
    </row>
    <row r="83" spans="1:26" x14ac:dyDescent="0.3">
      <c r="A83" t="s">
        <v>74</v>
      </c>
      <c r="B83" t="s">
        <v>42</v>
      </c>
      <c r="C83">
        <v>36</v>
      </c>
      <c r="D83">
        <v>12</v>
      </c>
      <c r="E83">
        <v>88.888888888888886</v>
      </c>
      <c r="F83" t="b">
        <v>1</v>
      </c>
      <c r="H83">
        <v>56.9</v>
      </c>
      <c r="I83">
        <v>37.5</v>
      </c>
      <c r="J83">
        <v>45.4</v>
      </c>
      <c r="K83">
        <v>46.6</v>
      </c>
      <c r="L83" t="s">
        <v>49</v>
      </c>
      <c r="M83">
        <v>6</v>
      </c>
      <c r="N83" t="s">
        <v>29</v>
      </c>
      <c r="O83">
        <v>18</v>
      </c>
      <c r="P83">
        <v>6</v>
      </c>
      <c r="Q83">
        <v>52</v>
      </c>
      <c r="R83" t="s">
        <v>43</v>
      </c>
      <c r="S83">
        <v>3</v>
      </c>
      <c r="T83" t="s">
        <v>44</v>
      </c>
      <c r="U83" t="s">
        <v>32</v>
      </c>
      <c r="V83">
        <v>0</v>
      </c>
      <c r="W83">
        <v>0</v>
      </c>
      <c r="X83">
        <v>1</v>
      </c>
      <c r="Y83">
        <v>6</v>
      </c>
      <c r="Z83" t="s">
        <v>37</v>
      </c>
    </row>
    <row r="84" spans="1:26" x14ac:dyDescent="0.3">
      <c r="A84" t="s">
        <v>75</v>
      </c>
      <c r="B84" t="s">
        <v>27</v>
      </c>
      <c r="C84">
        <v>34</v>
      </c>
      <c r="D84">
        <v>32</v>
      </c>
      <c r="E84">
        <v>44.117647058823529</v>
      </c>
      <c r="F84" t="b">
        <v>1</v>
      </c>
      <c r="G84">
        <v>61.8</v>
      </c>
      <c r="H84">
        <v>80.3</v>
      </c>
      <c r="I84">
        <v>66.099999999999994</v>
      </c>
      <c r="J84">
        <v>76.400000000000006</v>
      </c>
      <c r="K84">
        <v>71.150000000000006</v>
      </c>
      <c r="L84" t="s">
        <v>61</v>
      </c>
      <c r="M84">
        <v>4</v>
      </c>
      <c r="N84" t="s">
        <v>55</v>
      </c>
      <c r="O84">
        <v>11</v>
      </c>
      <c r="P84">
        <v>9</v>
      </c>
      <c r="Q84">
        <v>46</v>
      </c>
      <c r="R84" t="s">
        <v>30</v>
      </c>
      <c r="S84">
        <v>4</v>
      </c>
      <c r="T84" t="s">
        <v>31</v>
      </c>
      <c r="U84" t="s">
        <v>36</v>
      </c>
      <c r="V84">
        <v>1</v>
      </c>
      <c r="W84">
        <v>0</v>
      </c>
      <c r="X84">
        <v>0</v>
      </c>
      <c r="Y84">
        <v>9</v>
      </c>
      <c r="Z84" t="s">
        <v>37</v>
      </c>
    </row>
    <row r="85" spans="1:26" x14ac:dyDescent="0.3">
      <c r="A85" t="s">
        <v>75</v>
      </c>
      <c r="B85" t="s">
        <v>34</v>
      </c>
      <c r="C85">
        <v>31</v>
      </c>
      <c r="D85">
        <v>15</v>
      </c>
      <c r="E85">
        <v>67.741935483870961</v>
      </c>
      <c r="F85" t="b">
        <v>1</v>
      </c>
      <c r="G85">
        <v>52</v>
      </c>
      <c r="H85">
        <v>52.3</v>
      </c>
      <c r="I85">
        <v>40</v>
      </c>
      <c r="J85">
        <v>66.3</v>
      </c>
      <c r="K85">
        <v>52.650000000000013</v>
      </c>
      <c r="L85" t="s">
        <v>61</v>
      </c>
      <c r="M85">
        <v>4</v>
      </c>
      <c r="N85" t="s">
        <v>55</v>
      </c>
      <c r="P85">
        <v>7</v>
      </c>
      <c r="R85" t="s">
        <v>35</v>
      </c>
      <c r="S85">
        <v>2</v>
      </c>
      <c r="T85" t="s">
        <v>31</v>
      </c>
      <c r="U85" t="s">
        <v>32</v>
      </c>
      <c r="V85">
        <v>1</v>
      </c>
      <c r="W85">
        <v>1</v>
      </c>
      <c r="X85">
        <v>0</v>
      </c>
      <c r="Y85">
        <v>7</v>
      </c>
      <c r="Z85" t="s">
        <v>33</v>
      </c>
    </row>
    <row r="86" spans="1:26" x14ac:dyDescent="0.3">
      <c r="A86" t="s">
        <v>75</v>
      </c>
      <c r="B86" t="s">
        <v>38</v>
      </c>
      <c r="C86">
        <v>30</v>
      </c>
      <c r="D86">
        <v>21</v>
      </c>
      <c r="E86">
        <v>36.666666666666657</v>
      </c>
      <c r="F86" t="b">
        <v>1</v>
      </c>
      <c r="G86">
        <v>36.200000000000003</v>
      </c>
      <c r="H86">
        <v>69.5</v>
      </c>
      <c r="I86">
        <v>74.099999999999994</v>
      </c>
      <c r="J86">
        <v>54.7</v>
      </c>
      <c r="K86">
        <v>58.625</v>
      </c>
      <c r="L86" t="s">
        <v>61</v>
      </c>
      <c r="M86">
        <v>4</v>
      </c>
      <c r="N86" t="s">
        <v>55</v>
      </c>
      <c r="O86">
        <v>16</v>
      </c>
      <c r="P86">
        <v>7</v>
      </c>
      <c r="Q86">
        <v>43</v>
      </c>
      <c r="R86" t="s">
        <v>30</v>
      </c>
      <c r="S86">
        <v>3</v>
      </c>
      <c r="T86" t="s">
        <v>39</v>
      </c>
      <c r="U86" t="s">
        <v>32</v>
      </c>
      <c r="V86">
        <v>1</v>
      </c>
      <c r="W86">
        <v>0</v>
      </c>
      <c r="X86">
        <v>0</v>
      </c>
      <c r="Y86">
        <v>7</v>
      </c>
      <c r="Z86" t="s">
        <v>33</v>
      </c>
    </row>
    <row r="87" spans="1:26" x14ac:dyDescent="0.3">
      <c r="A87" t="s">
        <v>75</v>
      </c>
      <c r="B87" t="s">
        <v>40</v>
      </c>
      <c r="C87">
        <v>40</v>
      </c>
      <c r="D87">
        <v>11</v>
      </c>
      <c r="E87">
        <v>67.5</v>
      </c>
      <c r="F87" t="b">
        <v>1</v>
      </c>
      <c r="G87">
        <v>77.400000000000006</v>
      </c>
      <c r="H87">
        <v>76.599999999999994</v>
      </c>
      <c r="I87">
        <v>42.8</v>
      </c>
      <c r="J87">
        <v>81</v>
      </c>
      <c r="K87">
        <v>69.45</v>
      </c>
      <c r="L87" t="s">
        <v>61</v>
      </c>
      <c r="M87">
        <v>4</v>
      </c>
      <c r="N87" t="s">
        <v>55</v>
      </c>
      <c r="O87">
        <v>15</v>
      </c>
      <c r="P87">
        <v>10</v>
      </c>
      <c r="Q87">
        <v>48</v>
      </c>
      <c r="R87" t="s">
        <v>30</v>
      </c>
      <c r="S87">
        <v>3</v>
      </c>
      <c r="T87" t="s">
        <v>41</v>
      </c>
      <c r="U87" t="s">
        <v>36</v>
      </c>
      <c r="V87">
        <v>1</v>
      </c>
      <c r="W87">
        <v>0</v>
      </c>
      <c r="X87">
        <v>0</v>
      </c>
      <c r="Y87">
        <v>10</v>
      </c>
      <c r="Z87" t="s">
        <v>37</v>
      </c>
    </row>
    <row r="88" spans="1:26" x14ac:dyDescent="0.3">
      <c r="A88" t="s">
        <v>76</v>
      </c>
      <c r="B88" t="s">
        <v>27</v>
      </c>
      <c r="C88">
        <v>27</v>
      </c>
      <c r="D88">
        <v>27</v>
      </c>
      <c r="E88">
        <v>62.962962962962962</v>
      </c>
      <c r="F88" t="b">
        <v>1</v>
      </c>
      <c r="G88">
        <v>73.400000000000006</v>
      </c>
      <c r="H88">
        <v>71.5</v>
      </c>
      <c r="I88">
        <v>82.1</v>
      </c>
      <c r="J88">
        <v>87.7</v>
      </c>
      <c r="K88">
        <v>78.674999999999997</v>
      </c>
      <c r="L88" t="s">
        <v>28</v>
      </c>
      <c r="M88">
        <v>5</v>
      </c>
      <c r="N88" t="s">
        <v>55</v>
      </c>
      <c r="O88">
        <v>21</v>
      </c>
      <c r="P88">
        <v>12</v>
      </c>
      <c r="Q88">
        <v>71</v>
      </c>
      <c r="R88" t="s">
        <v>30</v>
      </c>
      <c r="S88">
        <v>4</v>
      </c>
      <c r="T88" t="s">
        <v>31</v>
      </c>
      <c r="U88" t="s">
        <v>56</v>
      </c>
      <c r="V88">
        <v>1</v>
      </c>
      <c r="W88">
        <v>0</v>
      </c>
      <c r="X88">
        <v>0</v>
      </c>
      <c r="Y88">
        <v>12</v>
      </c>
      <c r="Z88" t="s">
        <v>37</v>
      </c>
    </row>
    <row r="89" spans="1:26" x14ac:dyDescent="0.3">
      <c r="A89" t="s">
        <v>76</v>
      </c>
      <c r="B89" t="s">
        <v>51</v>
      </c>
      <c r="C89">
        <v>30</v>
      </c>
      <c r="D89">
        <v>17</v>
      </c>
      <c r="E89">
        <v>40</v>
      </c>
      <c r="F89" t="b">
        <v>1</v>
      </c>
      <c r="G89">
        <v>79.8</v>
      </c>
      <c r="H89">
        <v>86.6</v>
      </c>
      <c r="I89">
        <v>58.5</v>
      </c>
      <c r="J89">
        <v>85.8</v>
      </c>
      <c r="K89">
        <v>77.674999999999997</v>
      </c>
      <c r="L89" t="s">
        <v>28</v>
      </c>
      <c r="M89">
        <v>5</v>
      </c>
      <c r="N89" t="s">
        <v>55</v>
      </c>
      <c r="O89">
        <v>27</v>
      </c>
      <c r="P89">
        <v>11</v>
      </c>
      <c r="Q89">
        <v>70</v>
      </c>
      <c r="R89" t="s">
        <v>30</v>
      </c>
      <c r="S89">
        <v>3</v>
      </c>
      <c r="T89" t="s">
        <v>52</v>
      </c>
      <c r="U89" t="s">
        <v>56</v>
      </c>
      <c r="V89">
        <v>1</v>
      </c>
      <c r="W89">
        <v>0</v>
      </c>
      <c r="X89">
        <v>0</v>
      </c>
      <c r="Y89">
        <v>11</v>
      </c>
      <c r="Z89" t="s">
        <v>37</v>
      </c>
    </row>
    <row r="90" spans="1:26" x14ac:dyDescent="0.3">
      <c r="A90" t="s">
        <v>76</v>
      </c>
      <c r="B90" t="s">
        <v>34</v>
      </c>
      <c r="C90">
        <v>26</v>
      </c>
      <c r="D90">
        <v>12</v>
      </c>
      <c r="E90">
        <v>76.923076923076934</v>
      </c>
      <c r="F90" t="b">
        <v>1</v>
      </c>
      <c r="G90">
        <v>76.5</v>
      </c>
      <c r="H90">
        <v>82.3</v>
      </c>
      <c r="I90">
        <v>95.4</v>
      </c>
      <c r="J90">
        <v>76.900000000000006</v>
      </c>
      <c r="K90">
        <v>82.775000000000006</v>
      </c>
      <c r="L90" t="s">
        <v>28</v>
      </c>
      <c r="M90">
        <v>5</v>
      </c>
      <c r="N90" t="s">
        <v>55</v>
      </c>
      <c r="O90">
        <v>21</v>
      </c>
      <c r="P90">
        <v>6</v>
      </c>
      <c r="Q90">
        <v>69</v>
      </c>
      <c r="R90" t="s">
        <v>35</v>
      </c>
      <c r="S90">
        <v>2</v>
      </c>
      <c r="T90" t="s">
        <v>31</v>
      </c>
      <c r="U90" t="s">
        <v>56</v>
      </c>
      <c r="V90">
        <v>0</v>
      </c>
      <c r="W90">
        <v>0</v>
      </c>
      <c r="X90">
        <v>0</v>
      </c>
      <c r="Y90">
        <v>6</v>
      </c>
      <c r="Z90" t="s">
        <v>37</v>
      </c>
    </row>
    <row r="91" spans="1:26" x14ac:dyDescent="0.3">
      <c r="A91" t="s">
        <v>76</v>
      </c>
      <c r="B91" t="s">
        <v>40</v>
      </c>
      <c r="C91">
        <v>26</v>
      </c>
      <c r="D91">
        <v>20</v>
      </c>
      <c r="E91">
        <v>38.461538461538467</v>
      </c>
      <c r="F91" t="b">
        <v>1</v>
      </c>
      <c r="G91">
        <v>87.2</v>
      </c>
      <c r="H91">
        <v>80.599999999999994</v>
      </c>
      <c r="I91">
        <v>41.4</v>
      </c>
      <c r="J91">
        <v>76.2</v>
      </c>
      <c r="K91">
        <v>71.350000000000009</v>
      </c>
      <c r="L91" t="s">
        <v>28</v>
      </c>
      <c r="M91">
        <v>5</v>
      </c>
      <c r="N91" t="s">
        <v>55</v>
      </c>
      <c r="O91">
        <v>23</v>
      </c>
      <c r="P91">
        <v>4</v>
      </c>
      <c r="Q91">
        <v>58</v>
      </c>
      <c r="R91" t="s">
        <v>30</v>
      </c>
      <c r="S91">
        <v>3</v>
      </c>
      <c r="T91" t="s">
        <v>41</v>
      </c>
      <c r="U91" t="s">
        <v>36</v>
      </c>
      <c r="V91">
        <v>1</v>
      </c>
      <c r="W91">
        <v>0</v>
      </c>
      <c r="X91">
        <v>0</v>
      </c>
      <c r="Y91">
        <v>4</v>
      </c>
      <c r="Z91" t="s">
        <v>37</v>
      </c>
    </row>
    <row r="92" spans="1:26" x14ac:dyDescent="0.3">
      <c r="A92" t="s">
        <v>76</v>
      </c>
      <c r="B92" t="s">
        <v>57</v>
      </c>
      <c r="C92">
        <v>38</v>
      </c>
      <c r="D92">
        <v>10</v>
      </c>
      <c r="E92">
        <v>71.05263157894737</v>
      </c>
      <c r="F92" t="b">
        <v>1</v>
      </c>
      <c r="G92">
        <v>72.2</v>
      </c>
      <c r="H92">
        <v>71</v>
      </c>
      <c r="I92">
        <v>92.6</v>
      </c>
      <c r="J92">
        <v>82.2</v>
      </c>
      <c r="K92">
        <v>79.5</v>
      </c>
      <c r="L92" t="s">
        <v>28</v>
      </c>
      <c r="M92">
        <v>5</v>
      </c>
      <c r="N92" t="s">
        <v>55</v>
      </c>
      <c r="O92">
        <v>18</v>
      </c>
      <c r="P92">
        <v>12</v>
      </c>
      <c r="Q92">
        <v>33</v>
      </c>
      <c r="R92" t="s">
        <v>30</v>
      </c>
      <c r="S92">
        <v>4</v>
      </c>
      <c r="T92" t="s">
        <v>58</v>
      </c>
      <c r="U92" t="s">
        <v>56</v>
      </c>
      <c r="V92">
        <v>1</v>
      </c>
      <c r="W92">
        <v>0</v>
      </c>
      <c r="X92">
        <v>0</v>
      </c>
      <c r="Y92">
        <v>12</v>
      </c>
      <c r="Z92" t="s">
        <v>37</v>
      </c>
    </row>
    <row r="93" spans="1:26" x14ac:dyDescent="0.3">
      <c r="A93" t="s">
        <v>76</v>
      </c>
      <c r="B93" t="s">
        <v>42</v>
      </c>
      <c r="C93">
        <v>35</v>
      </c>
      <c r="D93">
        <v>27</v>
      </c>
      <c r="E93">
        <v>62.857142857142847</v>
      </c>
      <c r="F93" t="b">
        <v>1</v>
      </c>
      <c r="G93">
        <v>67.5</v>
      </c>
      <c r="H93">
        <v>77.900000000000006</v>
      </c>
      <c r="I93">
        <v>40.4</v>
      </c>
      <c r="J93">
        <v>65.5</v>
      </c>
      <c r="K93">
        <v>62.825000000000003</v>
      </c>
      <c r="L93" t="s">
        <v>28</v>
      </c>
      <c r="M93">
        <v>5</v>
      </c>
      <c r="N93" t="s">
        <v>55</v>
      </c>
      <c r="O93">
        <v>12</v>
      </c>
      <c r="P93">
        <v>7</v>
      </c>
      <c r="Q93">
        <v>42</v>
      </c>
      <c r="R93" t="s">
        <v>43</v>
      </c>
      <c r="S93">
        <v>3</v>
      </c>
      <c r="T93" t="s">
        <v>44</v>
      </c>
      <c r="U93" t="s">
        <v>36</v>
      </c>
      <c r="V93">
        <v>1</v>
      </c>
      <c r="W93">
        <v>0</v>
      </c>
      <c r="X93">
        <v>0</v>
      </c>
      <c r="Y93">
        <v>7</v>
      </c>
      <c r="Z93" t="s">
        <v>37</v>
      </c>
    </row>
    <row r="94" spans="1:26" x14ac:dyDescent="0.3">
      <c r="A94" t="s">
        <v>77</v>
      </c>
      <c r="B94" t="s">
        <v>27</v>
      </c>
      <c r="C94">
        <v>24</v>
      </c>
      <c r="D94">
        <v>22</v>
      </c>
      <c r="E94">
        <v>70.833333333333343</v>
      </c>
      <c r="F94" t="b">
        <v>1</v>
      </c>
      <c r="G94">
        <v>37.5</v>
      </c>
      <c r="H94">
        <v>60.3</v>
      </c>
      <c r="I94">
        <v>65</v>
      </c>
      <c r="J94">
        <v>46.7</v>
      </c>
      <c r="K94">
        <v>52.375</v>
      </c>
      <c r="L94" t="s">
        <v>28</v>
      </c>
      <c r="M94">
        <v>3</v>
      </c>
      <c r="N94" t="s">
        <v>50</v>
      </c>
      <c r="O94">
        <v>12</v>
      </c>
      <c r="P94">
        <v>10</v>
      </c>
      <c r="Q94">
        <v>44</v>
      </c>
      <c r="R94" t="s">
        <v>30</v>
      </c>
      <c r="S94">
        <v>4</v>
      </c>
      <c r="T94" t="s">
        <v>31</v>
      </c>
      <c r="U94" t="s">
        <v>32</v>
      </c>
      <c r="V94">
        <v>1</v>
      </c>
      <c r="W94">
        <v>0</v>
      </c>
      <c r="X94">
        <v>0</v>
      </c>
      <c r="Y94">
        <v>10</v>
      </c>
      <c r="Z94" t="s">
        <v>33</v>
      </c>
    </row>
    <row r="95" spans="1:26" x14ac:dyDescent="0.3">
      <c r="A95" t="s">
        <v>77</v>
      </c>
      <c r="B95" t="s">
        <v>38</v>
      </c>
      <c r="C95">
        <v>27</v>
      </c>
      <c r="D95">
        <v>17</v>
      </c>
      <c r="E95">
        <v>85.18518518518519</v>
      </c>
      <c r="F95" t="b">
        <v>1</v>
      </c>
      <c r="G95">
        <v>65.400000000000006</v>
      </c>
      <c r="H95">
        <v>89.6</v>
      </c>
      <c r="I95">
        <v>52.5</v>
      </c>
      <c r="J95">
        <v>57.3</v>
      </c>
      <c r="K95">
        <v>66.2</v>
      </c>
      <c r="L95" t="s">
        <v>28</v>
      </c>
      <c r="M95">
        <v>3</v>
      </c>
      <c r="N95" t="s">
        <v>50</v>
      </c>
      <c r="O95">
        <v>21</v>
      </c>
      <c r="P95">
        <v>9</v>
      </c>
      <c r="Q95">
        <v>53</v>
      </c>
      <c r="R95" t="s">
        <v>30</v>
      </c>
      <c r="S95">
        <v>3</v>
      </c>
      <c r="T95" t="s">
        <v>39</v>
      </c>
      <c r="U95" t="s">
        <v>36</v>
      </c>
      <c r="V95">
        <v>0</v>
      </c>
      <c r="W95">
        <v>0</v>
      </c>
      <c r="X95">
        <v>0</v>
      </c>
      <c r="Y95">
        <v>9</v>
      </c>
      <c r="Z95" t="s">
        <v>37</v>
      </c>
    </row>
    <row r="96" spans="1:26" x14ac:dyDescent="0.3">
      <c r="A96" t="s">
        <v>77</v>
      </c>
      <c r="B96" t="s">
        <v>40</v>
      </c>
      <c r="C96">
        <v>39</v>
      </c>
      <c r="D96">
        <v>23</v>
      </c>
      <c r="E96">
        <v>69.230769230769226</v>
      </c>
      <c r="F96" t="b">
        <v>1</v>
      </c>
      <c r="G96">
        <v>70.3</v>
      </c>
      <c r="H96">
        <v>65.900000000000006</v>
      </c>
      <c r="I96">
        <v>55.6</v>
      </c>
      <c r="J96">
        <v>68</v>
      </c>
      <c r="K96">
        <v>64.949999999999989</v>
      </c>
      <c r="L96" t="s">
        <v>28</v>
      </c>
      <c r="M96">
        <v>3</v>
      </c>
      <c r="N96" t="s">
        <v>50</v>
      </c>
      <c r="O96">
        <v>16</v>
      </c>
      <c r="P96">
        <v>7</v>
      </c>
      <c r="Q96">
        <v>57</v>
      </c>
      <c r="R96" t="s">
        <v>30</v>
      </c>
      <c r="S96">
        <v>3</v>
      </c>
      <c r="T96" t="s">
        <v>41</v>
      </c>
      <c r="U96" t="s">
        <v>36</v>
      </c>
      <c r="V96">
        <v>1</v>
      </c>
      <c r="W96">
        <v>0</v>
      </c>
      <c r="X96">
        <v>0</v>
      </c>
      <c r="Y96">
        <v>7</v>
      </c>
      <c r="Z96" t="s">
        <v>37</v>
      </c>
    </row>
    <row r="97" spans="1:26" x14ac:dyDescent="0.3">
      <c r="A97" t="s">
        <v>77</v>
      </c>
      <c r="B97" t="s">
        <v>45</v>
      </c>
      <c r="C97">
        <v>37</v>
      </c>
      <c r="D97">
        <v>27</v>
      </c>
      <c r="E97">
        <v>45.945945945945951</v>
      </c>
      <c r="F97" t="b">
        <v>1</v>
      </c>
      <c r="G97">
        <v>70.599999999999994</v>
      </c>
      <c r="H97">
        <v>64.3</v>
      </c>
      <c r="I97">
        <v>77.5</v>
      </c>
      <c r="J97">
        <v>72.7</v>
      </c>
      <c r="K97">
        <v>71.274999999999991</v>
      </c>
      <c r="L97" t="s">
        <v>28</v>
      </c>
      <c r="M97">
        <v>3</v>
      </c>
      <c r="N97" t="s">
        <v>50</v>
      </c>
      <c r="O97">
        <v>14</v>
      </c>
      <c r="P97">
        <v>9</v>
      </c>
      <c r="Q97">
        <v>34</v>
      </c>
      <c r="R97" t="s">
        <v>46</v>
      </c>
      <c r="S97">
        <v>4</v>
      </c>
      <c r="T97" t="s">
        <v>47</v>
      </c>
      <c r="U97" t="s">
        <v>36</v>
      </c>
      <c r="V97">
        <v>1</v>
      </c>
      <c r="W97">
        <v>0</v>
      </c>
      <c r="X97">
        <v>0</v>
      </c>
      <c r="Y97">
        <v>9</v>
      </c>
      <c r="Z97" t="s">
        <v>37</v>
      </c>
    </row>
    <row r="98" spans="1:26" x14ac:dyDescent="0.3">
      <c r="A98" t="s">
        <v>78</v>
      </c>
      <c r="B98" t="s">
        <v>51</v>
      </c>
      <c r="C98">
        <v>33</v>
      </c>
      <c r="D98">
        <v>17</v>
      </c>
      <c r="E98">
        <v>69.696969696969703</v>
      </c>
      <c r="F98" t="b">
        <v>1</v>
      </c>
      <c r="G98">
        <v>41.1</v>
      </c>
      <c r="H98">
        <v>32.9</v>
      </c>
      <c r="I98">
        <v>25.6</v>
      </c>
      <c r="J98">
        <v>57.3</v>
      </c>
      <c r="K98">
        <v>39.225000000000001</v>
      </c>
      <c r="L98" t="s">
        <v>28</v>
      </c>
      <c r="M98">
        <v>4</v>
      </c>
      <c r="N98" t="s">
        <v>55</v>
      </c>
      <c r="O98">
        <v>14</v>
      </c>
      <c r="P98">
        <v>8</v>
      </c>
      <c r="Q98">
        <v>28</v>
      </c>
      <c r="R98" t="s">
        <v>30</v>
      </c>
      <c r="S98">
        <v>3</v>
      </c>
      <c r="T98" t="s">
        <v>52</v>
      </c>
      <c r="U98" t="s">
        <v>68</v>
      </c>
      <c r="V98">
        <v>1</v>
      </c>
      <c r="W98">
        <v>0</v>
      </c>
      <c r="X98">
        <v>0</v>
      </c>
      <c r="Y98">
        <v>8</v>
      </c>
      <c r="Z98" t="s">
        <v>33</v>
      </c>
    </row>
    <row r="99" spans="1:26" x14ac:dyDescent="0.3">
      <c r="A99" t="s">
        <v>78</v>
      </c>
      <c r="B99" t="s">
        <v>34</v>
      </c>
      <c r="C99">
        <v>40</v>
      </c>
      <c r="D99">
        <v>23</v>
      </c>
      <c r="E99">
        <v>72.5</v>
      </c>
      <c r="F99" t="b">
        <v>1</v>
      </c>
      <c r="G99">
        <v>60.2</v>
      </c>
      <c r="H99">
        <v>38.5</v>
      </c>
      <c r="I99">
        <v>58.3</v>
      </c>
      <c r="J99">
        <v>59.3</v>
      </c>
      <c r="K99">
        <v>54.075000000000003</v>
      </c>
      <c r="L99" t="s">
        <v>28</v>
      </c>
      <c r="M99">
        <v>4</v>
      </c>
      <c r="N99" t="s">
        <v>55</v>
      </c>
      <c r="O99">
        <v>9</v>
      </c>
      <c r="P99">
        <v>7</v>
      </c>
      <c r="Q99">
        <v>39</v>
      </c>
      <c r="R99" t="s">
        <v>35</v>
      </c>
      <c r="S99">
        <v>2</v>
      </c>
      <c r="T99" t="s">
        <v>31</v>
      </c>
      <c r="U99" t="s">
        <v>32</v>
      </c>
      <c r="V99">
        <v>1</v>
      </c>
      <c r="W99">
        <v>0</v>
      </c>
      <c r="X99">
        <v>0</v>
      </c>
      <c r="Y99">
        <v>7</v>
      </c>
      <c r="Z99" t="s">
        <v>33</v>
      </c>
    </row>
    <row r="100" spans="1:26" x14ac:dyDescent="0.3">
      <c r="A100" t="s">
        <v>78</v>
      </c>
      <c r="B100" t="s">
        <v>40</v>
      </c>
      <c r="C100">
        <v>29</v>
      </c>
      <c r="D100">
        <v>29</v>
      </c>
      <c r="E100">
        <v>55.172413793103438</v>
      </c>
      <c r="F100" t="b">
        <v>1</v>
      </c>
      <c r="G100">
        <v>61.6</v>
      </c>
      <c r="H100">
        <v>61.2</v>
      </c>
      <c r="I100">
        <v>1.8</v>
      </c>
      <c r="J100">
        <v>48.1</v>
      </c>
      <c r="K100">
        <v>43.174999999999997</v>
      </c>
      <c r="L100" t="s">
        <v>28</v>
      </c>
      <c r="M100">
        <v>4</v>
      </c>
      <c r="N100" t="s">
        <v>55</v>
      </c>
      <c r="O100">
        <v>15</v>
      </c>
      <c r="P100">
        <v>4</v>
      </c>
      <c r="Q100">
        <v>48</v>
      </c>
      <c r="R100" t="s">
        <v>30</v>
      </c>
      <c r="S100">
        <v>3</v>
      </c>
      <c r="T100" t="s">
        <v>41</v>
      </c>
      <c r="U100" t="s">
        <v>32</v>
      </c>
      <c r="V100">
        <v>1</v>
      </c>
      <c r="W100">
        <v>0</v>
      </c>
      <c r="X100">
        <v>0</v>
      </c>
      <c r="Y100">
        <v>4</v>
      </c>
      <c r="Z100" t="s">
        <v>33</v>
      </c>
    </row>
    <row r="101" spans="1:26" x14ac:dyDescent="0.3">
      <c r="A101" t="s">
        <v>78</v>
      </c>
      <c r="B101" t="s">
        <v>42</v>
      </c>
      <c r="C101">
        <v>28</v>
      </c>
      <c r="D101">
        <v>16</v>
      </c>
      <c r="E101">
        <v>60.714285714285708</v>
      </c>
      <c r="F101" t="b">
        <v>1</v>
      </c>
      <c r="G101">
        <v>48.5</v>
      </c>
      <c r="H101">
        <v>32.5</v>
      </c>
      <c r="I101">
        <v>56.1</v>
      </c>
      <c r="J101">
        <v>45.6</v>
      </c>
      <c r="K101">
        <v>45.674999999999997</v>
      </c>
      <c r="L101" t="s">
        <v>28</v>
      </c>
      <c r="M101">
        <v>4</v>
      </c>
      <c r="N101" t="s">
        <v>55</v>
      </c>
      <c r="O101">
        <v>15</v>
      </c>
      <c r="P101">
        <v>7</v>
      </c>
      <c r="Q101">
        <v>42</v>
      </c>
      <c r="R101" t="s">
        <v>43</v>
      </c>
      <c r="S101">
        <v>3</v>
      </c>
      <c r="T101" t="s">
        <v>44</v>
      </c>
      <c r="U101" t="s">
        <v>32</v>
      </c>
      <c r="V101">
        <v>1</v>
      </c>
      <c r="W101">
        <v>0</v>
      </c>
      <c r="X101">
        <v>0</v>
      </c>
      <c r="Y101">
        <v>7</v>
      </c>
      <c r="Z101" t="s">
        <v>33</v>
      </c>
    </row>
    <row r="102" spans="1:26" x14ac:dyDescent="0.3">
      <c r="A102" t="s">
        <v>79</v>
      </c>
      <c r="B102" t="s">
        <v>51</v>
      </c>
      <c r="C102">
        <v>34</v>
      </c>
      <c r="D102">
        <v>17</v>
      </c>
      <c r="E102">
        <v>47.058823529411761</v>
      </c>
      <c r="F102" t="b">
        <v>1</v>
      </c>
      <c r="G102">
        <v>96.8</v>
      </c>
      <c r="H102">
        <v>76.8</v>
      </c>
      <c r="I102">
        <v>100</v>
      </c>
      <c r="J102">
        <v>96.3</v>
      </c>
      <c r="K102">
        <v>92.474999999999994</v>
      </c>
      <c r="L102" t="s">
        <v>61</v>
      </c>
      <c r="M102">
        <v>4</v>
      </c>
      <c r="N102" t="s">
        <v>29</v>
      </c>
      <c r="O102">
        <v>22</v>
      </c>
      <c r="P102">
        <v>9</v>
      </c>
      <c r="Q102">
        <v>58</v>
      </c>
      <c r="R102" t="s">
        <v>30</v>
      </c>
      <c r="S102">
        <v>3</v>
      </c>
      <c r="T102" t="s">
        <v>52</v>
      </c>
      <c r="U102" t="s">
        <v>56</v>
      </c>
      <c r="V102">
        <v>1</v>
      </c>
      <c r="W102">
        <v>0</v>
      </c>
      <c r="X102">
        <v>0</v>
      </c>
      <c r="Y102">
        <v>9</v>
      </c>
      <c r="Z102" t="s">
        <v>37</v>
      </c>
    </row>
    <row r="103" spans="1:26" x14ac:dyDescent="0.3">
      <c r="A103" t="s">
        <v>79</v>
      </c>
      <c r="B103" t="s">
        <v>34</v>
      </c>
      <c r="C103">
        <v>33</v>
      </c>
      <c r="D103">
        <v>16</v>
      </c>
      <c r="E103">
        <v>54.54545454545454</v>
      </c>
      <c r="F103" t="b">
        <v>1</v>
      </c>
      <c r="G103">
        <v>50.1</v>
      </c>
      <c r="H103">
        <v>77.099999999999994</v>
      </c>
      <c r="I103">
        <v>66.5</v>
      </c>
      <c r="J103">
        <v>72.7</v>
      </c>
      <c r="K103">
        <v>66.599999999999994</v>
      </c>
      <c r="L103" t="s">
        <v>61</v>
      </c>
      <c r="M103">
        <v>4</v>
      </c>
      <c r="N103" t="s">
        <v>29</v>
      </c>
      <c r="O103">
        <v>3</v>
      </c>
      <c r="P103">
        <v>7</v>
      </c>
      <c r="Q103">
        <v>35</v>
      </c>
      <c r="R103" t="s">
        <v>35</v>
      </c>
      <c r="S103">
        <v>2</v>
      </c>
      <c r="T103" t="s">
        <v>31</v>
      </c>
      <c r="U103" t="s">
        <v>36</v>
      </c>
      <c r="V103">
        <v>1</v>
      </c>
      <c r="W103">
        <v>1</v>
      </c>
      <c r="X103">
        <v>0</v>
      </c>
      <c r="Y103">
        <v>7</v>
      </c>
      <c r="Z103" t="s">
        <v>37</v>
      </c>
    </row>
    <row r="104" spans="1:26" x14ac:dyDescent="0.3">
      <c r="A104" t="s">
        <v>79</v>
      </c>
      <c r="B104" t="s">
        <v>38</v>
      </c>
      <c r="C104">
        <v>31</v>
      </c>
      <c r="D104">
        <v>18</v>
      </c>
      <c r="E104">
        <v>61.29032258064516</v>
      </c>
      <c r="F104" t="b">
        <v>1</v>
      </c>
      <c r="G104">
        <v>75.3</v>
      </c>
      <c r="H104">
        <v>77.599999999999994</v>
      </c>
      <c r="I104">
        <v>95.1</v>
      </c>
      <c r="J104">
        <v>82.6</v>
      </c>
      <c r="K104">
        <v>82.649999999999991</v>
      </c>
      <c r="L104" t="s">
        <v>61</v>
      </c>
      <c r="M104">
        <v>4</v>
      </c>
      <c r="N104" t="s">
        <v>29</v>
      </c>
      <c r="O104">
        <v>30</v>
      </c>
      <c r="P104">
        <v>9</v>
      </c>
      <c r="Q104">
        <v>90</v>
      </c>
      <c r="R104" t="s">
        <v>30</v>
      </c>
      <c r="S104">
        <v>3</v>
      </c>
      <c r="T104" t="s">
        <v>39</v>
      </c>
      <c r="U104" t="s">
        <v>56</v>
      </c>
      <c r="V104">
        <v>1</v>
      </c>
      <c r="W104">
        <v>0</v>
      </c>
      <c r="X104">
        <v>0</v>
      </c>
      <c r="Y104">
        <v>9</v>
      </c>
      <c r="Z104" t="s">
        <v>37</v>
      </c>
    </row>
    <row r="105" spans="1:26" x14ac:dyDescent="0.3">
      <c r="A105" t="s">
        <v>79</v>
      </c>
      <c r="B105" t="s">
        <v>40</v>
      </c>
      <c r="C105">
        <v>26</v>
      </c>
      <c r="D105">
        <v>19</v>
      </c>
      <c r="E105">
        <v>73.076923076923066</v>
      </c>
      <c r="F105" t="b">
        <v>1</v>
      </c>
      <c r="G105">
        <v>83.2</v>
      </c>
      <c r="H105">
        <v>76.900000000000006</v>
      </c>
      <c r="I105">
        <v>90.6</v>
      </c>
      <c r="K105">
        <v>83.566666666666677</v>
      </c>
      <c r="L105" t="s">
        <v>61</v>
      </c>
      <c r="M105">
        <v>4</v>
      </c>
      <c r="N105" t="s">
        <v>29</v>
      </c>
      <c r="O105">
        <v>22</v>
      </c>
      <c r="P105">
        <v>11</v>
      </c>
      <c r="Q105">
        <v>57</v>
      </c>
      <c r="R105" t="s">
        <v>30</v>
      </c>
      <c r="S105">
        <v>3</v>
      </c>
      <c r="T105" t="s">
        <v>41</v>
      </c>
      <c r="U105" t="s">
        <v>56</v>
      </c>
      <c r="V105">
        <v>1</v>
      </c>
      <c r="W105">
        <v>0</v>
      </c>
      <c r="X105">
        <v>1</v>
      </c>
      <c r="Y105">
        <v>11</v>
      </c>
      <c r="Z105" t="s">
        <v>37</v>
      </c>
    </row>
    <row r="106" spans="1:26" x14ac:dyDescent="0.3">
      <c r="A106" t="s">
        <v>79</v>
      </c>
      <c r="B106" t="s">
        <v>42</v>
      </c>
      <c r="C106">
        <v>31</v>
      </c>
      <c r="D106">
        <v>19</v>
      </c>
      <c r="E106">
        <v>80.645161290322577</v>
      </c>
      <c r="F106" t="b">
        <v>1</v>
      </c>
      <c r="G106">
        <v>60.2</v>
      </c>
      <c r="H106">
        <v>80</v>
      </c>
      <c r="I106">
        <v>82.2</v>
      </c>
      <c r="J106">
        <v>77.8</v>
      </c>
      <c r="K106">
        <v>75.05</v>
      </c>
      <c r="L106" t="s">
        <v>61</v>
      </c>
      <c r="M106">
        <v>4</v>
      </c>
      <c r="N106" t="s">
        <v>29</v>
      </c>
      <c r="O106">
        <v>13</v>
      </c>
      <c r="P106">
        <v>7</v>
      </c>
      <c r="Q106">
        <v>31</v>
      </c>
      <c r="R106" t="s">
        <v>43</v>
      </c>
      <c r="S106">
        <v>3</v>
      </c>
      <c r="T106" t="s">
        <v>44</v>
      </c>
      <c r="U106" t="s">
        <v>56</v>
      </c>
      <c r="V106">
        <v>0</v>
      </c>
      <c r="W106">
        <v>0</v>
      </c>
      <c r="X106">
        <v>0</v>
      </c>
      <c r="Y106">
        <v>7</v>
      </c>
      <c r="Z106" t="s">
        <v>37</v>
      </c>
    </row>
    <row r="107" spans="1:26" x14ac:dyDescent="0.3">
      <c r="A107" t="s">
        <v>79</v>
      </c>
      <c r="B107" t="s">
        <v>45</v>
      </c>
      <c r="C107">
        <v>39</v>
      </c>
      <c r="D107">
        <v>25</v>
      </c>
      <c r="E107">
        <v>71.794871794871796</v>
      </c>
      <c r="F107" t="b">
        <v>1</v>
      </c>
      <c r="G107">
        <v>84.3</v>
      </c>
      <c r="H107">
        <v>70.599999999999994</v>
      </c>
      <c r="I107">
        <v>69.099999999999994</v>
      </c>
      <c r="J107">
        <v>95</v>
      </c>
      <c r="K107">
        <v>79.75</v>
      </c>
      <c r="L107" t="s">
        <v>61</v>
      </c>
      <c r="M107">
        <v>4</v>
      </c>
      <c r="N107" t="s">
        <v>29</v>
      </c>
      <c r="O107">
        <v>26</v>
      </c>
      <c r="P107">
        <v>9</v>
      </c>
      <c r="Q107">
        <v>61</v>
      </c>
      <c r="R107" t="s">
        <v>46</v>
      </c>
      <c r="S107">
        <v>4</v>
      </c>
      <c r="T107" t="s">
        <v>47</v>
      </c>
      <c r="U107" t="s">
        <v>56</v>
      </c>
      <c r="V107">
        <v>1</v>
      </c>
      <c r="W107">
        <v>0</v>
      </c>
      <c r="X107">
        <v>0</v>
      </c>
      <c r="Y107">
        <v>9</v>
      </c>
      <c r="Z107" t="s">
        <v>37</v>
      </c>
    </row>
    <row r="108" spans="1:26" x14ac:dyDescent="0.3">
      <c r="A108" t="s">
        <v>80</v>
      </c>
      <c r="B108" t="s">
        <v>27</v>
      </c>
      <c r="C108">
        <v>39</v>
      </c>
      <c r="D108">
        <v>28</v>
      </c>
      <c r="E108">
        <v>51.282051282051277</v>
      </c>
      <c r="F108" t="b">
        <v>1</v>
      </c>
      <c r="G108">
        <v>35</v>
      </c>
      <c r="H108">
        <v>53.6</v>
      </c>
      <c r="I108">
        <v>74.400000000000006</v>
      </c>
      <c r="J108">
        <v>63.6</v>
      </c>
      <c r="K108">
        <v>56.65</v>
      </c>
      <c r="L108" t="s">
        <v>54</v>
      </c>
      <c r="M108">
        <v>6</v>
      </c>
      <c r="N108" t="s">
        <v>55</v>
      </c>
      <c r="O108">
        <v>18</v>
      </c>
      <c r="P108">
        <v>8</v>
      </c>
      <c r="Q108">
        <v>55</v>
      </c>
      <c r="R108" t="s">
        <v>30</v>
      </c>
      <c r="S108">
        <v>4</v>
      </c>
      <c r="T108" t="s">
        <v>31</v>
      </c>
      <c r="U108" t="s">
        <v>32</v>
      </c>
      <c r="V108">
        <v>1</v>
      </c>
      <c r="W108">
        <v>0</v>
      </c>
      <c r="X108">
        <v>0</v>
      </c>
      <c r="Y108">
        <v>8</v>
      </c>
      <c r="Z108" t="s">
        <v>33</v>
      </c>
    </row>
    <row r="109" spans="1:26" x14ac:dyDescent="0.3">
      <c r="A109" t="s">
        <v>80</v>
      </c>
      <c r="B109" t="s">
        <v>51</v>
      </c>
      <c r="C109">
        <v>27</v>
      </c>
      <c r="D109">
        <v>20</v>
      </c>
      <c r="E109">
        <v>51.851851851851848</v>
      </c>
      <c r="F109" t="b">
        <v>1</v>
      </c>
      <c r="G109">
        <v>19.2</v>
      </c>
      <c r="H109">
        <v>49.1</v>
      </c>
      <c r="I109">
        <v>70.5</v>
      </c>
      <c r="J109">
        <v>52.7</v>
      </c>
      <c r="K109">
        <v>47.875</v>
      </c>
      <c r="L109" t="s">
        <v>54</v>
      </c>
      <c r="M109">
        <v>6</v>
      </c>
      <c r="N109" t="s">
        <v>55</v>
      </c>
      <c r="O109">
        <v>15</v>
      </c>
      <c r="P109">
        <v>9</v>
      </c>
      <c r="Q109">
        <v>55</v>
      </c>
      <c r="R109" t="s">
        <v>30</v>
      </c>
      <c r="S109">
        <v>3</v>
      </c>
      <c r="T109" t="s">
        <v>52</v>
      </c>
      <c r="U109" t="s">
        <v>32</v>
      </c>
      <c r="V109">
        <v>1</v>
      </c>
      <c r="W109">
        <v>0</v>
      </c>
      <c r="X109">
        <v>0</v>
      </c>
      <c r="Y109">
        <v>9</v>
      </c>
      <c r="Z109" t="s">
        <v>33</v>
      </c>
    </row>
    <row r="110" spans="1:26" x14ac:dyDescent="0.3">
      <c r="A110" t="s">
        <v>80</v>
      </c>
      <c r="B110" t="s">
        <v>40</v>
      </c>
      <c r="C110">
        <v>26</v>
      </c>
      <c r="D110">
        <v>14</v>
      </c>
      <c r="E110">
        <v>42.307692307692307</v>
      </c>
      <c r="F110" t="b">
        <v>1</v>
      </c>
      <c r="G110">
        <v>29.9</v>
      </c>
      <c r="H110">
        <v>54.7</v>
      </c>
      <c r="I110">
        <v>46.9</v>
      </c>
      <c r="J110">
        <v>47.9</v>
      </c>
      <c r="K110">
        <v>44.85</v>
      </c>
      <c r="L110" t="s">
        <v>54</v>
      </c>
      <c r="M110">
        <v>6</v>
      </c>
      <c r="N110" t="s">
        <v>55</v>
      </c>
      <c r="O110">
        <v>14</v>
      </c>
      <c r="P110">
        <v>6</v>
      </c>
      <c r="Q110">
        <v>36</v>
      </c>
      <c r="R110" t="s">
        <v>30</v>
      </c>
      <c r="S110">
        <v>3</v>
      </c>
      <c r="T110" t="s">
        <v>41</v>
      </c>
      <c r="U110" t="s">
        <v>32</v>
      </c>
      <c r="V110">
        <v>1</v>
      </c>
      <c r="W110">
        <v>0</v>
      </c>
      <c r="X110">
        <v>0</v>
      </c>
      <c r="Y110">
        <v>6</v>
      </c>
      <c r="Z110" t="s">
        <v>33</v>
      </c>
    </row>
    <row r="111" spans="1:26" x14ac:dyDescent="0.3">
      <c r="A111" t="s">
        <v>80</v>
      </c>
      <c r="B111" t="s">
        <v>57</v>
      </c>
      <c r="C111">
        <v>36</v>
      </c>
      <c r="D111">
        <v>11</v>
      </c>
      <c r="E111">
        <v>50</v>
      </c>
      <c r="F111" t="b">
        <v>1</v>
      </c>
      <c r="G111">
        <v>40.4</v>
      </c>
      <c r="H111">
        <v>30</v>
      </c>
      <c r="I111">
        <v>44.5</v>
      </c>
      <c r="J111">
        <v>32.9</v>
      </c>
      <c r="K111">
        <v>36.950000000000003</v>
      </c>
      <c r="L111" t="s">
        <v>54</v>
      </c>
      <c r="M111">
        <v>6</v>
      </c>
      <c r="N111" t="s">
        <v>55</v>
      </c>
      <c r="O111">
        <v>12</v>
      </c>
      <c r="P111">
        <v>6</v>
      </c>
      <c r="Q111">
        <v>54</v>
      </c>
      <c r="R111" t="s">
        <v>30</v>
      </c>
      <c r="S111">
        <v>4</v>
      </c>
      <c r="T111" t="s">
        <v>58</v>
      </c>
      <c r="U111" t="s">
        <v>68</v>
      </c>
      <c r="V111">
        <v>1</v>
      </c>
      <c r="W111">
        <v>0</v>
      </c>
      <c r="X111">
        <v>0</v>
      </c>
      <c r="Y111">
        <v>6</v>
      </c>
      <c r="Z111" t="s">
        <v>33</v>
      </c>
    </row>
    <row r="112" spans="1:26" x14ac:dyDescent="0.3">
      <c r="A112" t="s">
        <v>80</v>
      </c>
      <c r="B112" t="s">
        <v>42</v>
      </c>
      <c r="C112">
        <v>26</v>
      </c>
      <c r="D112">
        <v>18</v>
      </c>
      <c r="E112">
        <v>26.92307692307692</v>
      </c>
      <c r="F112" t="b">
        <v>1</v>
      </c>
      <c r="G112">
        <v>36.1</v>
      </c>
      <c r="H112">
        <v>31.5</v>
      </c>
      <c r="I112">
        <v>50</v>
      </c>
      <c r="J112">
        <v>37.799999999999997</v>
      </c>
      <c r="K112">
        <v>38.85</v>
      </c>
      <c r="L112" t="s">
        <v>54</v>
      </c>
      <c r="M112">
        <v>6</v>
      </c>
      <c r="N112" t="s">
        <v>55</v>
      </c>
      <c r="O112">
        <v>4</v>
      </c>
      <c r="P112">
        <v>5</v>
      </c>
      <c r="Q112">
        <v>2</v>
      </c>
      <c r="R112" t="s">
        <v>43</v>
      </c>
      <c r="S112">
        <v>3</v>
      </c>
      <c r="T112" t="s">
        <v>44</v>
      </c>
      <c r="U112" t="s">
        <v>68</v>
      </c>
      <c r="V112">
        <v>1</v>
      </c>
      <c r="W112">
        <v>1</v>
      </c>
      <c r="X112">
        <v>0</v>
      </c>
      <c r="Y112">
        <v>5</v>
      </c>
      <c r="Z112" t="s">
        <v>33</v>
      </c>
    </row>
    <row r="113" spans="1:26" x14ac:dyDescent="0.3">
      <c r="A113" t="s">
        <v>81</v>
      </c>
      <c r="B113" t="s">
        <v>34</v>
      </c>
      <c r="C113">
        <v>33</v>
      </c>
      <c r="D113">
        <v>7</v>
      </c>
      <c r="E113">
        <v>72.727272727272734</v>
      </c>
      <c r="F113" t="b">
        <v>1</v>
      </c>
      <c r="G113">
        <v>54.3</v>
      </c>
      <c r="H113">
        <v>56.8</v>
      </c>
      <c r="I113">
        <v>56.8</v>
      </c>
      <c r="J113">
        <v>60.9</v>
      </c>
      <c r="K113">
        <v>57.2</v>
      </c>
      <c r="L113" t="s">
        <v>54</v>
      </c>
      <c r="M113">
        <v>5</v>
      </c>
      <c r="N113" t="s">
        <v>55</v>
      </c>
      <c r="O113">
        <v>11</v>
      </c>
      <c r="P113">
        <v>6</v>
      </c>
      <c r="Q113">
        <v>40</v>
      </c>
      <c r="R113" t="s">
        <v>35</v>
      </c>
      <c r="S113">
        <v>2</v>
      </c>
      <c r="T113" t="s">
        <v>31</v>
      </c>
      <c r="U113" t="s">
        <v>32</v>
      </c>
      <c r="V113">
        <v>1</v>
      </c>
      <c r="W113">
        <v>0</v>
      </c>
      <c r="X113">
        <v>0</v>
      </c>
      <c r="Y113">
        <v>6</v>
      </c>
      <c r="Z113" t="s">
        <v>33</v>
      </c>
    </row>
    <row r="114" spans="1:26" x14ac:dyDescent="0.3">
      <c r="A114" t="s">
        <v>81</v>
      </c>
      <c r="B114" t="s">
        <v>38</v>
      </c>
      <c r="C114">
        <v>34</v>
      </c>
      <c r="D114">
        <v>24</v>
      </c>
      <c r="E114">
        <v>67.64705882352942</v>
      </c>
      <c r="F114" t="b">
        <v>1</v>
      </c>
      <c r="G114">
        <v>45.4</v>
      </c>
      <c r="H114">
        <v>53.3</v>
      </c>
      <c r="I114">
        <v>47</v>
      </c>
      <c r="J114">
        <v>48.7</v>
      </c>
      <c r="K114">
        <v>48.6</v>
      </c>
      <c r="L114" t="s">
        <v>54</v>
      </c>
      <c r="M114">
        <v>5</v>
      </c>
      <c r="N114" t="s">
        <v>55</v>
      </c>
      <c r="O114">
        <v>15</v>
      </c>
      <c r="P114">
        <v>7</v>
      </c>
      <c r="Q114">
        <v>54</v>
      </c>
      <c r="R114" t="s">
        <v>30</v>
      </c>
      <c r="S114">
        <v>3</v>
      </c>
      <c r="T114" t="s">
        <v>39</v>
      </c>
      <c r="U114" t="s">
        <v>32</v>
      </c>
      <c r="V114">
        <v>1</v>
      </c>
      <c r="W114">
        <v>0</v>
      </c>
      <c r="X114">
        <v>0</v>
      </c>
      <c r="Y114">
        <v>7</v>
      </c>
      <c r="Z114" t="s">
        <v>33</v>
      </c>
    </row>
    <row r="115" spans="1:26" x14ac:dyDescent="0.3">
      <c r="A115" t="s">
        <v>81</v>
      </c>
      <c r="B115" t="s">
        <v>40</v>
      </c>
      <c r="C115">
        <v>29</v>
      </c>
      <c r="D115">
        <v>23</v>
      </c>
      <c r="E115">
        <v>72.41379310344827</v>
      </c>
      <c r="F115" t="b">
        <v>1</v>
      </c>
      <c r="G115">
        <v>56.5</v>
      </c>
      <c r="H115">
        <v>67.599999999999994</v>
      </c>
      <c r="I115">
        <v>47.8</v>
      </c>
      <c r="J115">
        <v>57.9</v>
      </c>
      <c r="K115">
        <v>57.45</v>
      </c>
      <c r="L115" t="s">
        <v>54</v>
      </c>
      <c r="M115">
        <v>5</v>
      </c>
      <c r="N115" t="s">
        <v>55</v>
      </c>
      <c r="O115">
        <v>13</v>
      </c>
      <c r="P115">
        <v>7</v>
      </c>
      <c r="Q115">
        <v>33</v>
      </c>
      <c r="R115" t="s">
        <v>30</v>
      </c>
      <c r="S115">
        <v>3</v>
      </c>
      <c r="T115" t="s">
        <v>41</v>
      </c>
      <c r="U115" t="s">
        <v>32</v>
      </c>
      <c r="V115">
        <v>1</v>
      </c>
      <c r="W115">
        <v>0</v>
      </c>
      <c r="X115">
        <v>0</v>
      </c>
      <c r="Y115">
        <v>7</v>
      </c>
      <c r="Z115" t="s">
        <v>33</v>
      </c>
    </row>
    <row r="116" spans="1:26" x14ac:dyDescent="0.3">
      <c r="A116" t="s">
        <v>81</v>
      </c>
      <c r="B116" t="s">
        <v>57</v>
      </c>
      <c r="C116">
        <v>28</v>
      </c>
      <c r="D116">
        <v>21</v>
      </c>
      <c r="E116">
        <v>75</v>
      </c>
      <c r="F116" t="b">
        <v>1</v>
      </c>
      <c r="G116">
        <v>55</v>
      </c>
      <c r="H116">
        <v>67.8</v>
      </c>
      <c r="I116">
        <v>46.7</v>
      </c>
      <c r="J116">
        <v>62.8</v>
      </c>
      <c r="K116">
        <v>58.075000000000003</v>
      </c>
      <c r="L116" t="s">
        <v>54</v>
      </c>
      <c r="M116">
        <v>5</v>
      </c>
      <c r="N116" t="s">
        <v>55</v>
      </c>
      <c r="O116">
        <v>15</v>
      </c>
      <c r="P116">
        <v>8</v>
      </c>
      <c r="Q116">
        <v>32</v>
      </c>
      <c r="R116" t="s">
        <v>30</v>
      </c>
      <c r="S116">
        <v>4</v>
      </c>
      <c r="T116" t="s">
        <v>58</v>
      </c>
      <c r="U116" t="s">
        <v>32</v>
      </c>
      <c r="V116">
        <v>0</v>
      </c>
      <c r="W116">
        <v>0</v>
      </c>
      <c r="X116">
        <v>0</v>
      </c>
      <c r="Y116">
        <v>8</v>
      </c>
      <c r="Z116" t="s">
        <v>37</v>
      </c>
    </row>
    <row r="117" spans="1:26" x14ac:dyDescent="0.3">
      <c r="A117" t="s">
        <v>81</v>
      </c>
      <c r="B117" t="s">
        <v>42</v>
      </c>
      <c r="C117">
        <v>32</v>
      </c>
      <c r="D117">
        <v>21</v>
      </c>
      <c r="E117">
        <v>81.25</v>
      </c>
      <c r="F117" t="b">
        <v>1</v>
      </c>
      <c r="G117">
        <v>70.7</v>
      </c>
      <c r="H117">
        <v>68</v>
      </c>
      <c r="I117">
        <v>57.2</v>
      </c>
      <c r="J117">
        <v>79.900000000000006</v>
      </c>
      <c r="K117">
        <v>68.949999999999989</v>
      </c>
      <c r="L117" t="s">
        <v>54</v>
      </c>
      <c r="M117">
        <v>5</v>
      </c>
      <c r="N117" t="s">
        <v>55</v>
      </c>
      <c r="O117">
        <v>18</v>
      </c>
      <c r="P117">
        <v>5</v>
      </c>
      <c r="Q117">
        <v>45</v>
      </c>
      <c r="R117" t="s">
        <v>43</v>
      </c>
      <c r="S117">
        <v>3</v>
      </c>
      <c r="T117" t="s">
        <v>44</v>
      </c>
      <c r="U117" t="s">
        <v>36</v>
      </c>
      <c r="V117">
        <v>0</v>
      </c>
      <c r="W117">
        <v>0</v>
      </c>
      <c r="X117">
        <v>0</v>
      </c>
      <c r="Y117">
        <v>5</v>
      </c>
      <c r="Z117" t="s">
        <v>37</v>
      </c>
    </row>
    <row r="118" spans="1:26" x14ac:dyDescent="0.3">
      <c r="A118" t="s">
        <v>81</v>
      </c>
      <c r="B118" t="s">
        <v>45</v>
      </c>
      <c r="C118">
        <v>31</v>
      </c>
      <c r="D118">
        <v>26</v>
      </c>
      <c r="E118">
        <v>67.741935483870961</v>
      </c>
      <c r="F118" t="b">
        <v>1</v>
      </c>
      <c r="G118">
        <v>75.3</v>
      </c>
      <c r="H118">
        <v>56.9</v>
      </c>
      <c r="I118">
        <v>89.6</v>
      </c>
      <c r="J118">
        <v>61.9</v>
      </c>
      <c r="K118">
        <v>70.924999999999997</v>
      </c>
      <c r="L118" t="s">
        <v>54</v>
      </c>
      <c r="M118">
        <v>5</v>
      </c>
      <c r="N118" t="s">
        <v>55</v>
      </c>
      <c r="O118">
        <v>22</v>
      </c>
      <c r="P118">
        <v>5</v>
      </c>
      <c r="Q118">
        <v>51</v>
      </c>
      <c r="R118" t="s">
        <v>46</v>
      </c>
      <c r="S118">
        <v>4</v>
      </c>
      <c r="T118" t="s">
        <v>47</v>
      </c>
      <c r="U118" t="s">
        <v>36</v>
      </c>
      <c r="V118">
        <v>1</v>
      </c>
      <c r="W118">
        <v>0</v>
      </c>
      <c r="X118">
        <v>0</v>
      </c>
      <c r="Y118">
        <v>5</v>
      </c>
      <c r="Z118" t="s">
        <v>37</v>
      </c>
    </row>
    <row r="119" spans="1:26" x14ac:dyDescent="0.3">
      <c r="A119" t="s">
        <v>82</v>
      </c>
      <c r="B119" t="s">
        <v>27</v>
      </c>
      <c r="C119">
        <v>38</v>
      </c>
      <c r="D119">
        <v>21</v>
      </c>
      <c r="E119">
        <v>65.789473684210535</v>
      </c>
      <c r="F119" t="b">
        <v>1</v>
      </c>
      <c r="G119">
        <v>23.8</v>
      </c>
      <c r="H119">
        <v>42.7</v>
      </c>
      <c r="I119">
        <v>57.9</v>
      </c>
      <c r="J119">
        <v>52.4</v>
      </c>
      <c r="K119">
        <v>44.2</v>
      </c>
      <c r="L119" t="s">
        <v>28</v>
      </c>
      <c r="M119">
        <v>4</v>
      </c>
      <c r="N119" t="s">
        <v>29</v>
      </c>
      <c r="O119">
        <v>17</v>
      </c>
      <c r="P119">
        <v>7</v>
      </c>
      <c r="Q119">
        <v>47</v>
      </c>
      <c r="R119" t="s">
        <v>30</v>
      </c>
      <c r="S119">
        <v>4</v>
      </c>
      <c r="T119" t="s">
        <v>31</v>
      </c>
      <c r="U119" t="s">
        <v>32</v>
      </c>
      <c r="V119">
        <v>1</v>
      </c>
      <c r="W119">
        <v>0</v>
      </c>
      <c r="X119">
        <v>0</v>
      </c>
      <c r="Y119">
        <v>7</v>
      </c>
      <c r="Z119" t="s">
        <v>33</v>
      </c>
    </row>
    <row r="120" spans="1:26" x14ac:dyDescent="0.3">
      <c r="A120" t="s">
        <v>82</v>
      </c>
      <c r="B120" t="s">
        <v>51</v>
      </c>
      <c r="C120">
        <v>28</v>
      </c>
      <c r="D120">
        <v>25</v>
      </c>
      <c r="E120">
        <v>57.142857142857139</v>
      </c>
      <c r="F120" t="b">
        <v>1</v>
      </c>
      <c r="G120">
        <v>43.9</v>
      </c>
      <c r="H120">
        <v>51.5</v>
      </c>
      <c r="I120">
        <v>35.5</v>
      </c>
      <c r="J120">
        <v>51.9</v>
      </c>
      <c r="K120">
        <v>45.7</v>
      </c>
      <c r="L120" t="s">
        <v>28</v>
      </c>
      <c r="M120">
        <v>4</v>
      </c>
      <c r="N120" t="s">
        <v>29</v>
      </c>
      <c r="O120">
        <v>3</v>
      </c>
      <c r="P120">
        <v>10</v>
      </c>
      <c r="Q120">
        <v>29</v>
      </c>
      <c r="R120" t="s">
        <v>30</v>
      </c>
      <c r="S120">
        <v>3</v>
      </c>
      <c r="T120" t="s">
        <v>52</v>
      </c>
      <c r="U120" t="s">
        <v>32</v>
      </c>
      <c r="V120">
        <v>1</v>
      </c>
      <c r="W120">
        <v>1</v>
      </c>
      <c r="X120">
        <v>0</v>
      </c>
      <c r="Y120">
        <v>10</v>
      </c>
      <c r="Z120" t="s">
        <v>33</v>
      </c>
    </row>
    <row r="121" spans="1:26" x14ac:dyDescent="0.3">
      <c r="A121" t="s">
        <v>82</v>
      </c>
      <c r="B121" t="s">
        <v>42</v>
      </c>
      <c r="C121">
        <v>36</v>
      </c>
      <c r="D121">
        <v>16</v>
      </c>
      <c r="E121">
        <v>50</v>
      </c>
      <c r="F121" t="b">
        <v>1</v>
      </c>
      <c r="G121">
        <v>35.4</v>
      </c>
      <c r="H121">
        <v>40.4</v>
      </c>
      <c r="I121">
        <v>33.4</v>
      </c>
      <c r="J121">
        <v>40</v>
      </c>
      <c r="K121">
        <v>37.299999999999997</v>
      </c>
      <c r="L121" t="s">
        <v>28</v>
      </c>
      <c r="M121">
        <v>4</v>
      </c>
      <c r="N121" t="s">
        <v>29</v>
      </c>
      <c r="O121">
        <v>22</v>
      </c>
      <c r="P121">
        <v>5</v>
      </c>
      <c r="Q121">
        <v>59</v>
      </c>
      <c r="R121" t="s">
        <v>43</v>
      </c>
      <c r="S121">
        <v>3</v>
      </c>
      <c r="T121" t="s">
        <v>44</v>
      </c>
      <c r="U121" t="s">
        <v>68</v>
      </c>
      <c r="V121">
        <v>1</v>
      </c>
      <c r="W121">
        <v>0</v>
      </c>
      <c r="X121">
        <v>0</v>
      </c>
      <c r="Y121">
        <v>5</v>
      </c>
      <c r="Z121" t="s">
        <v>33</v>
      </c>
    </row>
    <row r="122" spans="1:26" x14ac:dyDescent="0.3">
      <c r="A122" t="s">
        <v>82</v>
      </c>
      <c r="B122" t="s">
        <v>45</v>
      </c>
      <c r="C122">
        <v>34</v>
      </c>
      <c r="D122">
        <v>18</v>
      </c>
      <c r="E122">
        <v>47.058823529411761</v>
      </c>
      <c r="F122" t="b">
        <v>1</v>
      </c>
      <c r="G122">
        <v>35.299999999999997</v>
      </c>
      <c r="H122">
        <v>32.5</v>
      </c>
      <c r="I122">
        <v>39.799999999999997</v>
      </c>
      <c r="J122">
        <v>67.5</v>
      </c>
      <c r="K122">
        <v>43.774999999999999</v>
      </c>
      <c r="L122" t="s">
        <v>28</v>
      </c>
      <c r="M122">
        <v>4</v>
      </c>
      <c r="N122" t="s">
        <v>29</v>
      </c>
      <c r="O122">
        <v>5</v>
      </c>
      <c r="P122">
        <v>8</v>
      </c>
      <c r="Q122">
        <v>22</v>
      </c>
      <c r="R122" t="s">
        <v>46</v>
      </c>
      <c r="S122">
        <v>4</v>
      </c>
      <c r="T122" t="s">
        <v>47</v>
      </c>
      <c r="U122" t="s">
        <v>32</v>
      </c>
      <c r="V122">
        <v>1</v>
      </c>
      <c r="W122">
        <v>0</v>
      </c>
      <c r="X122">
        <v>0</v>
      </c>
      <c r="Y122">
        <v>8</v>
      </c>
      <c r="Z122" t="s">
        <v>33</v>
      </c>
    </row>
    <row r="123" spans="1:26" x14ac:dyDescent="0.3">
      <c r="A123" t="s">
        <v>83</v>
      </c>
      <c r="B123" t="s">
        <v>27</v>
      </c>
      <c r="C123">
        <v>39</v>
      </c>
      <c r="D123">
        <v>16</v>
      </c>
      <c r="E123">
        <v>69.230769230769226</v>
      </c>
      <c r="F123" t="b">
        <v>1</v>
      </c>
      <c r="G123">
        <v>92.5</v>
      </c>
      <c r="H123">
        <v>81.599999999999994</v>
      </c>
      <c r="I123">
        <v>66.7</v>
      </c>
      <c r="J123">
        <v>80.900000000000006</v>
      </c>
      <c r="K123">
        <v>80.425000000000011</v>
      </c>
      <c r="L123" t="s">
        <v>61</v>
      </c>
      <c r="M123">
        <v>4</v>
      </c>
      <c r="N123" t="s">
        <v>55</v>
      </c>
      <c r="O123">
        <v>25</v>
      </c>
      <c r="P123">
        <v>11</v>
      </c>
      <c r="Q123">
        <v>62</v>
      </c>
      <c r="R123" t="s">
        <v>30</v>
      </c>
      <c r="S123">
        <v>4</v>
      </c>
      <c r="T123" t="s">
        <v>31</v>
      </c>
      <c r="U123" t="s">
        <v>56</v>
      </c>
      <c r="V123">
        <v>1</v>
      </c>
      <c r="W123">
        <v>0</v>
      </c>
      <c r="X123">
        <v>0</v>
      </c>
      <c r="Y123">
        <v>11</v>
      </c>
      <c r="Z123" t="s">
        <v>37</v>
      </c>
    </row>
    <row r="124" spans="1:26" x14ac:dyDescent="0.3">
      <c r="A124" t="s">
        <v>83</v>
      </c>
      <c r="B124" t="s">
        <v>51</v>
      </c>
      <c r="C124">
        <v>32</v>
      </c>
      <c r="D124">
        <v>27</v>
      </c>
      <c r="E124">
        <v>84.375</v>
      </c>
      <c r="F124" t="b">
        <v>1</v>
      </c>
      <c r="G124">
        <v>78.2</v>
      </c>
      <c r="H124">
        <v>80.599999999999994</v>
      </c>
      <c r="I124">
        <v>77.5</v>
      </c>
      <c r="J124">
        <v>76.2</v>
      </c>
      <c r="K124">
        <v>78.125</v>
      </c>
      <c r="L124" t="s">
        <v>61</v>
      </c>
      <c r="M124">
        <v>4</v>
      </c>
      <c r="N124" t="s">
        <v>55</v>
      </c>
      <c r="O124">
        <v>20</v>
      </c>
      <c r="P124">
        <v>6</v>
      </c>
      <c r="Q124">
        <v>57</v>
      </c>
      <c r="R124" t="s">
        <v>30</v>
      </c>
      <c r="S124">
        <v>3</v>
      </c>
      <c r="T124" t="s">
        <v>52</v>
      </c>
      <c r="U124" t="s">
        <v>56</v>
      </c>
      <c r="V124">
        <v>0</v>
      </c>
      <c r="W124">
        <v>0</v>
      </c>
      <c r="X124">
        <v>0</v>
      </c>
      <c r="Y124">
        <v>6</v>
      </c>
      <c r="Z124" t="s">
        <v>37</v>
      </c>
    </row>
    <row r="125" spans="1:26" x14ac:dyDescent="0.3">
      <c r="A125" t="s">
        <v>83</v>
      </c>
      <c r="B125" t="s">
        <v>38</v>
      </c>
      <c r="C125">
        <v>26</v>
      </c>
      <c r="D125">
        <v>27</v>
      </c>
      <c r="E125">
        <v>46.153846153846153</v>
      </c>
      <c r="F125" t="b">
        <v>1</v>
      </c>
      <c r="G125">
        <v>84</v>
      </c>
      <c r="H125">
        <v>86.8</v>
      </c>
      <c r="I125">
        <v>61.3</v>
      </c>
      <c r="J125">
        <v>95.4</v>
      </c>
      <c r="K125">
        <v>81.875</v>
      </c>
      <c r="L125" t="s">
        <v>61</v>
      </c>
      <c r="M125">
        <v>4</v>
      </c>
      <c r="N125" t="s">
        <v>55</v>
      </c>
      <c r="O125">
        <v>5</v>
      </c>
      <c r="P125">
        <v>11</v>
      </c>
      <c r="Q125">
        <v>16</v>
      </c>
      <c r="R125" t="s">
        <v>30</v>
      </c>
      <c r="S125">
        <v>3</v>
      </c>
      <c r="T125" t="s">
        <v>39</v>
      </c>
      <c r="U125" t="s">
        <v>56</v>
      </c>
      <c r="V125">
        <v>1</v>
      </c>
      <c r="W125">
        <v>0</v>
      </c>
      <c r="X125">
        <v>0</v>
      </c>
      <c r="Y125">
        <v>11</v>
      </c>
      <c r="Z125" t="s">
        <v>37</v>
      </c>
    </row>
    <row r="126" spans="1:26" x14ac:dyDescent="0.3">
      <c r="A126" t="s">
        <v>83</v>
      </c>
      <c r="B126" t="s">
        <v>40</v>
      </c>
      <c r="C126">
        <v>28</v>
      </c>
      <c r="D126">
        <v>12</v>
      </c>
      <c r="E126">
        <v>50</v>
      </c>
      <c r="F126" t="b">
        <v>1</v>
      </c>
      <c r="G126">
        <v>59.8</v>
      </c>
      <c r="H126">
        <v>93.5</v>
      </c>
      <c r="I126">
        <v>80.8</v>
      </c>
      <c r="J126">
        <v>100</v>
      </c>
      <c r="K126">
        <v>83.525000000000006</v>
      </c>
      <c r="L126" t="s">
        <v>61</v>
      </c>
      <c r="M126">
        <v>4</v>
      </c>
      <c r="N126" t="s">
        <v>55</v>
      </c>
      <c r="O126">
        <v>12</v>
      </c>
      <c r="P126">
        <v>9</v>
      </c>
      <c r="Q126">
        <v>58</v>
      </c>
      <c r="R126" t="s">
        <v>30</v>
      </c>
      <c r="S126">
        <v>3</v>
      </c>
      <c r="T126" t="s">
        <v>41</v>
      </c>
      <c r="U126" t="s">
        <v>56</v>
      </c>
      <c r="V126">
        <v>1</v>
      </c>
      <c r="W126">
        <v>0</v>
      </c>
      <c r="X126">
        <v>0</v>
      </c>
      <c r="Y126">
        <v>9</v>
      </c>
      <c r="Z126" t="s">
        <v>37</v>
      </c>
    </row>
    <row r="127" spans="1:26" x14ac:dyDescent="0.3">
      <c r="A127" t="s">
        <v>83</v>
      </c>
      <c r="B127" t="s">
        <v>42</v>
      </c>
      <c r="C127">
        <v>37</v>
      </c>
      <c r="D127">
        <v>14</v>
      </c>
      <c r="E127">
        <v>64.86486486486487</v>
      </c>
      <c r="F127" t="b">
        <v>1</v>
      </c>
      <c r="G127">
        <v>82.8</v>
      </c>
      <c r="H127">
        <v>79.599999999999994</v>
      </c>
      <c r="I127">
        <v>58.8</v>
      </c>
      <c r="J127">
        <v>75.400000000000006</v>
      </c>
      <c r="K127">
        <v>74.150000000000006</v>
      </c>
      <c r="L127" t="s">
        <v>61</v>
      </c>
      <c r="M127">
        <v>4</v>
      </c>
      <c r="N127" t="s">
        <v>55</v>
      </c>
      <c r="O127">
        <v>11</v>
      </c>
      <c r="P127">
        <v>8</v>
      </c>
      <c r="Q127">
        <v>35</v>
      </c>
      <c r="R127" t="s">
        <v>43</v>
      </c>
      <c r="S127">
        <v>3</v>
      </c>
      <c r="T127" t="s">
        <v>44</v>
      </c>
      <c r="U127" t="s">
        <v>36</v>
      </c>
      <c r="V127">
        <v>1</v>
      </c>
      <c r="W127">
        <v>0</v>
      </c>
      <c r="X127">
        <v>0</v>
      </c>
      <c r="Y127">
        <v>8</v>
      </c>
      <c r="Z127" t="s">
        <v>37</v>
      </c>
    </row>
    <row r="128" spans="1:26" x14ac:dyDescent="0.3">
      <c r="A128" t="s">
        <v>84</v>
      </c>
      <c r="B128" t="s">
        <v>27</v>
      </c>
      <c r="C128">
        <v>37</v>
      </c>
      <c r="D128">
        <v>24</v>
      </c>
      <c r="E128">
        <v>45.945945945945951</v>
      </c>
      <c r="F128" t="b">
        <v>1</v>
      </c>
      <c r="G128">
        <v>68.5</v>
      </c>
      <c r="H128">
        <v>82.1</v>
      </c>
      <c r="I128">
        <v>82</v>
      </c>
      <c r="J128">
        <v>68.099999999999994</v>
      </c>
      <c r="K128">
        <v>75.174999999999997</v>
      </c>
      <c r="L128" t="s">
        <v>49</v>
      </c>
      <c r="M128">
        <v>4</v>
      </c>
      <c r="N128" t="s">
        <v>55</v>
      </c>
      <c r="O128">
        <v>19</v>
      </c>
      <c r="P128">
        <v>13</v>
      </c>
      <c r="Q128">
        <v>50</v>
      </c>
      <c r="R128" t="s">
        <v>30</v>
      </c>
      <c r="S128">
        <v>4</v>
      </c>
      <c r="T128" t="s">
        <v>31</v>
      </c>
      <c r="U128" t="s">
        <v>56</v>
      </c>
      <c r="V128">
        <v>1</v>
      </c>
      <c r="W128">
        <v>0</v>
      </c>
      <c r="X128">
        <v>0</v>
      </c>
      <c r="Y128">
        <v>13</v>
      </c>
      <c r="Z128" t="s">
        <v>37</v>
      </c>
    </row>
    <row r="129" spans="1:26" x14ac:dyDescent="0.3">
      <c r="A129" t="s">
        <v>84</v>
      </c>
      <c r="B129" t="s">
        <v>38</v>
      </c>
      <c r="C129">
        <v>28</v>
      </c>
      <c r="D129">
        <v>17</v>
      </c>
      <c r="E129">
        <v>71.428571428571431</v>
      </c>
      <c r="F129" t="b">
        <v>1</v>
      </c>
      <c r="G129">
        <v>84.1</v>
      </c>
      <c r="H129">
        <v>85.3</v>
      </c>
      <c r="I129">
        <v>52.2</v>
      </c>
      <c r="J129">
        <v>98.9</v>
      </c>
      <c r="K129">
        <v>80.125</v>
      </c>
      <c r="L129" t="s">
        <v>49</v>
      </c>
      <c r="M129">
        <v>4</v>
      </c>
      <c r="N129" t="s">
        <v>55</v>
      </c>
      <c r="O129">
        <v>19</v>
      </c>
      <c r="P129">
        <v>8</v>
      </c>
      <c r="Q129">
        <v>55</v>
      </c>
      <c r="R129" t="s">
        <v>30</v>
      </c>
      <c r="S129">
        <v>3</v>
      </c>
      <c r="T129" t="s">
        <v>39</v>
      </c>
      <c r="U129" t="s">
        <v>56</v>
      </c>
      <c r="V129">
        <v>1</v>
      </c>
      <c r="W129">
        <v>0</v>
      </c>
      <c r="X129">
        <v>0</v>
      </c>
      <c r="Y129">
        <v>8</v>
      </c>
      <c r="Z129" t="s">
        <v>37</v>
      </c>
    </row>
    <row r="130" spans="1:26" x14ac:dyDescent="0.3">
      <c r="A130" t="s">
        <v>84</v>
      </c>
      <c r="B130" t="s">
        <v>40</v>
      </c>
      <c r="C130">
        <v>35</v>
      </c>
      <c r="D130">
        <v>20</v>
      </c>
      <c r="E130">
        <v>62.857142857142847</v>
      </c>
      <c r="F130" t="b">
        <v>1</v>
      </c>
      <c r="G130">
        <v>67.900000000000006</v>
      </c>
      <c r="H130">
        <v>99.5</v>
      </c>
      <c r="I130">
        <v>62.4</v>
      </c>
      <c r="J130">
        <v>85</v>
      </c>
      <c r="K130">
        <v>78.7</v>
      </c>
      <c r="L130" t="s">
        <v>49</v>
      </c>
      <c r="M130">
        <v>4</v>
      </c>
      <c r="N130" t="s">
        <v>55</v>
      </c>
      <c r="O130">
        <v>28</v>
      </c>
      <c r="P130">
        <v>12</v>
      </c>
      <c r="Q130">
        <v>71</v>
      </c>
      <c r="R130" t="s">
        <v>30</v>
      </c>
      <c r="S130">
        <v>3</v>
      </c>
      <c r="T130" t="s">
        <v>41</v>
      </c>
      <c r="U130" t="s">
        <v>56</v>
      </c>
      <c r="V130">
        <v>1</v>
      </c>
      <c r="W130">
        <v>0</v>
      </c>
      <c r="X130">
        <v>0</v>
      </c>
      <c r="Y130">
        <v>12</v>
      </c>
      <c r="Z130" t="s">
        <v>37</v>
      </c>
    </row>
    <row r="131" spans="1:26" x14ac:dyDescent="0.3">
      <c r="A131" t="s">
        <v>84</v>
      </c>
      <c r="B131" t="s">
        <v>57</v>
      </c>
      <c r="C131">
        <v>24</v>
      </c>
      <c r="D131">
        <v>22</v>
      </c>
      <c r="E131">
        <v>66.666666666666657</v>
      </c>
      <c r="F131" t="b">
        <v>1</v>
      </c>
      <c r="G131">
        <v>78.900000000000006</v>
      </c>
      <c r="H131">
        <v>74.599999999999994</v>
      </c>
      <c r="I131">
        <v>64</v>
      </c>
      <c r="J131">
        <v>87.5</v>
      </c>
      <c r="K131">
        <v>76.25</v>
      </c>
      <c r="L131" t="s">
        <v>49</v>
      </c>
      <c r="M131">
        <v>4</v>
      </c>
      <c r="N131" t="s">
        <v>55</v>
      </c>
      <c r="O131">
        <v>13</v>
      </c>
      <c r="P131">
        <v>10</v>
      </c>
      <c r="Q131">
        <v>39</v>
      </c>
      <c r="R131" t="s">
        <v>30</v>
      </c>
      <c r="S131">
        <v>4</v>
      </c>
      <c r="T131" t="s">
        <v>58</v>
      </c>
      <c r="U131" t="s">
        <v>56</v>
      </c>
      <c r="V131">
        <v>1</v>
      </c>
      <c r="W131">
        <v>0</v>
      </c>
      <c r="X131">
        <v>0</v>
      </c>
      <c r="Y131">
        <v>10</v>
      </c>
      <c r="Z131" t="s">
        <v>37</v>
      </c>
    </row>
    <row r="132" spans="1:26" x14ac:dyDescent="0.3">
      <c r="A132" t="s">
        <v>85</v>
      </c>
      <c r="B132" t="s">
        <v>27</v>
      </c>
      <c r="C132">
        <v>26</v>
      </c>
      <c r="D132">
        <v>16</v>
      </c>
      <c r="E132">
        <v>57.692307692307693</v>
      </c>
      <c r="F132" t="b">
        <v>1</v>
      </c>
      <c r="G132">
        <v>28.8</v>
      </c>
      <c r="H132">
        <v>52.5</v>
      </c>
      <c r="I132">
        <v>55.6</v>
      </c>
      <c r="J132">
        <v>57.6</v>
      </c>
      <c r="K132">
        <v>48.625</v>
      </c>
      <c r="L132" t="s">
        <v>61</v>
      </c>
      <c r="M132">
        <v>5</v>
      </c>
      <c r="N132" t="s">
        <v>55</v>
      </c>
      <c r="O132">
        <v>9</v>
      </c>
      <c r="P132">
        <v>9</v>
      </c>
      <c r="Q132">
        <v>45</v>
      </c>
      <c r="R132" t="s">
        <v>30</v>
      </c>
      <c r="S132">
        <v>4</v>
      </c>
      <c r="T132" t="s">
        <v>31</v>
      </c>
      <c r="U132" t="s">
        <v>32</v>
      </c>
      <c r="V132">
        <v>1</v>
      </c>
      <c r="W132">
        <v>0</v>
      </c>
      <c r="X132">
        <v>0</v>
      </c>
      <c r="Y132">
        <v>9</v>
      </c>
      <c r="Z132" t="s">
        <v>33</v>
      </c>
    </row>
    <row r="133" spans="1:26" x14ac:dyDescent="0.3">
      <c r="A133" t="s">
        <v>85</v>
      </c>
      <c r="B133" t="s">
        <v>34</v>
      </c>
      <c r="C133">
        <v>32</v>
      </c>
      <c r="D133">
        <v>15</v>
      </c>
      <c r="E133">
        <v>40.625</v>
      </c>
      <c r="F133" t="b">
        <v>1</v>
      </c>
      <c r="G133">
        <v>61.2</v>
      </c>
      <c r="H133">
        <v>41.5</v>
      </c>
      <c r="I133">
        <v>45.5</v>
      </c>
      <c r="J133">
        <v>49.8</v>
      </c>
      <c r="K133">
        <v>49.5</v>
      </c>
      <c r="L133" t="s">
        <v>61</v>
      </c>
      <c r="M133">
        <v>5</v>
      </c>
      <c r="N133" t="s">
        <v>55</v>
      </c>
      <c r="O133">
        <v>15</v>
      </c>
      <c r="P133">
        <v>7</v>
      </c>
      <c r="Q133">
        <v>60</v>
      </c>
      <c r="R133" t="s">
        <v>35</v>
      </c>
      <c r="S133">
        <v>2</v>
      </c>
      <c r="T133" t="s">
        <v>31</v>
      </c>
      <c r="U133" t="s">
        <v>32</v>
      </c>
      <c r="V133">
        <v>1</v>
      </c>
      <c r="W133">
        <v>0</v>
      </c>
      <c r="X133">
        <v>0</v>
      </c>
      <c r="Y133">
        <v>7</v>
      </c>
      <c r="Z133" t="s">
        <v>33</v>
      </c>
    </row>
    <row r="134" spans="1:26" x14ac:dyDescent="0.3">
      <c r="A134" t="s">
        <v>85</v>
      </c>
      <c r="B134" t="s">
        <v>38</v>
      </c>
      <c r="C134">
        <v>34</v>
      </c>
      <c r="D134">
        <v>13</v>
      </c>
      <c r="E134">
        <v>50</v>
      </c>
      <c r="F134" t="b">
        <v>1</v>
      </c>
      <c r="G134">
        <v>34.9</v>
      </c>
      <c r="H134">
        <v>51</v>
      </c>
      <c r="J134">
        <v>62.1</v>
      </c>
      <c r="K134">
        <v>49.333333333333343</v>
      </c>
      <c r="L134" t="s">
        <v>61</v>
      </c>
      <c r="M134">
        <v>5</v>
      </c>
      <c r="N134" t="s">
        <v>55</v>
      </c>
      <c r="O134">
        <v>11</v>
      </c>
      <c r="P134">
        <v>14</v>
      </c>
      <c r="Q134">
        <v>36</v>
      </c>
      <c r="R134" t="s">
        <v>30</v>
      </c>
      <c r="S134">
        <v>3</v>
      </c>
      <c r="T134" t="s">
        <v>39</v>
      </c>
      <c r="U134" t="s">
        <v>32</v>
      </c>
      <c r="V134">
        <v>1</v>
      </c>
      <c r="W134">
        <v>0</v>
      </c>
      <c r="X134">
        <v>1</v>
      </c>
      <c r="Y134">
        <v>14</v>
      </c>
      <c r="Z134" t="s">
        <v>33</v>
      </c>
    </row>
    <row r="135" spans="1:26" x14ac:dyDescent="0.3">
      <c r="A135" t="s">
        <v>85</v>
      </c>
      <c r="B135" t="s">
        <v>57</v>
      </c>
      <c r="C135">
        <v>37</v>
      </c>
      <c r="D135">
        <v>17</v>
      </c>
      <c r="E135">
        <v>40.54054054054054</v>
      </c>
      <c r="F135" t="b">
        <v>1</v>
      </c>
      <c r="G135">
        <v>46.8</v>
      </c>
      <c r="H135">
        <v>55.4</v>
      </c>
      <c r="I135">
        <v>58.5</v>
      </c>
      <c r="J135">
        <v>58.7</v>
      </c>
      <c r="K135">
        <v>54.85</v>
      </c>
      <c r="L135" t="s">
        <v>61</v>
      </c>
      <c r="M135">
        <v>5</v>
      </c>
      <c r="N135" t="s">
        <v>55</v>
      </c>
      <c r="O135">
        <v>19</v>
      </c>
      <c r="P135">
        <v>7</v>
      </c>
      <c r="Q135">
        <v>49</v>
      </c>
      <c r="R135" t="s">
        <v>30</v>
      </c>
      <c r="S135">
        <v>4</v>
      </c>
      <c r="T135" t="s">
        <v>58</v>
      </c>
      <c r="U135" t="s">
        <v>32</v>
      </c>
      <c r="V135">
        <v>1</v>
      </c>
      <c r="W135">
        <v>0</v>
      </c>
      <c r="X135">
        <v>0</v>
      </c>
      <c r="Y135">
        <v>7</v>
      </c>
      <c r="Z135" t="s">
        <v>33</v>
      </c>
    </row>
    <row r="136" spans="1:26" x14ac:dyDescent="0.3">
      <c r="A136" t="s">
        <v>85</v>
      </c>
      <c r="B136" t="s">
        <v>42</v>
      </c>
      <c r="C136">
        <v>35</v>
      </c>
      <c r="D136">
        <v>15</v>
      </c>
      <c r="E136">
        <v>60</v>
      </c>
      <c r="F136" t="b">
        <v>1</v>
      </c>
      <c r="G136">
        <v>66.8</v>
      </c>
      <c r="H136">
        <v>62.5</v>
      </c>
      <c r="I136">
        <v>48.5</v>
      </c>
      <c r="J136">
        <v>41.2</v>
      </c>
      <c r="K136">
        <v>54.75</v>
      </c>
      <c r="L136" t="s">
        <v>61</v>
      </c>
      <c r="M136">
        <v>5</v>
      </c>
      <c r="N136" t="s">
        <v>55</v>
      </c>
      <c r="O136">
        <v>18</v>
      </c>
      <c r="P136">
        <v>6</v>
      </c>
      <c r="Q136">
        <v>66</v>
      </c>
      <c r="R136" t="s">
        <v>43</v>
      </c>
      <c r="S136">
        <v>3</v>
      </c>
      <c r="T136" t="s">
        <v>44</v>
      </c>
      <c r="U136" t="s">
        <v>32</v>
      </c>
      <c r="V136">
        <v>1</v>
      </c>
      <c r="W136">
        <v>0</v>
      </c>
      <c r="X136">
        <v>0</v>
      </c>
      <c r="Y136">
        <v>6</v>
      </c>
      <c r="Z136" t="s">
        <v>33</v>
      </c>
    </row>
    <row r="137" spans="1:26" x14ac:dyDescent="0.3">
      <c r="A137" t="s">
        <v>85</v>
      </c>
      <c r="B137" t="s">
        <v>45</v>
      </c>
      <c r="C137">
        <v>38</v>
      </c>
      <c r="D137">
        <v>21</v>
      </c>
      <c r="E137">
        <v>50</v>
      </c>
      <c r="F137" t="b">
        <v>1</v>
      </c>
      <c r="G137">
        <v>63.1</v>
      </c>
      <c r="H137">
        <v>61.2</v>
      </c>
      <c r="I137">
        <v>71.900000000000006</v>
      </c>
      <c r="J137">
        <v>77.400000000000006</v>
      </c>
      <c r="K137">
        <v>68.400000000000006</v>
      </c>
      <c r="L137" t="s">
        <v>61</v>
      </c>
      <c r="M137">
        <v>5</v>
      </c>
      <c r="N137" t="s">
        <v>55</v>
      </c>
      <c r="O137">
        <v>11</v>
      </c>
      <c r="P137">
        <v>8</v>
      </c>
      <c r="Q137">
        <v>29</v>
      </c>
      <c r="R137" t="s">
        <v>46</v>
      </c>
      <c r="S137">
        <v>4</v>
      </c>
      <c r="T137" t="s">
        <v>47</v>
      </c>
      <c r="U137" t="s">
        <v>36</v>
      </c>
      <c r="V137">
        <v>1</v>
      </c>
      <c r="W137">
        <v>0</v>
      </c>
      <c r="X137">
        <v>0</v>
      </c>
      <c r="Y137">
        <v>8</v>
      </c>
      <c r="Z137" t="s">
        <v>37</v>
      </c>
    </row>
    <row r="138" spans="1:26" x14ac:dyDescent="0.3">
      <c r="A138" t="s">
        <v>86</v>
      </c>
      <c r="B138" t="s">
        <v>27</v>
      </c>
      <c r="C138">
        <v>30</v>
      </c>
      <c r="D138">
        <v>19</v>
      </c>
      <c r="E138">
        <v>43.333333333333343</v>
      </c>
      <c r="F138" t="b">
        <v>1</v>
      </c>
      <c r="G138">
        <v>57.1</v>
      </c>
      <c r="H138">
        <v>67.400000000000006</v>
      </c>
      <c r="I138">
        <v>32.5</v>
      </c>
      <c r="J138">
        <v>51.8</v>
      </c>
      <c r="K138">
        <v>52.2</v>
      </c>
      <c r="L138" t="s">
        <v>61</v>
      </c>
      <c r="M138">
        <v>4</v>
      </c>
      <c r="N138" t="s">
        <v>55</v>
      </c>
      <c r="O138">
        <v>18</v>
      </c>
      <c r="P138">
        <v>8</v>
      </c>
      <c r="Q138">
        <v>42</v>
      </c>
      <c r="R138" t="s">
        <v>30</v>
      </c>
      <c r="S138">
        <v>4</v>
      </c>
      <c r="T138" t="s">
        <v>31</v>
      </c>
      <c r="U138" t="s">
        <v>32</v>
      </c>
      <c r="V138">
        <v>1</v>
      </c>
      <c r="W138">
        <v>0</v>
      </c>
      <c r="X138">
        <v>0</v>
      </c>
      <c r="Y138">
        <v>8</v>
      </c>
      <c r="Z138" t="s">
        <v>33</v>
      </c>
    </row>
    <row r="139" spans="1:26" x14ac:dyDescent="0.3">
      <c r="A139" t="s">
        <v>86</v>
      </c>
      <c r="B139" t="s">
        <v>38</v>
      </c>
      <c r="C139">
        <v>28</v>
      </c>
      <c r="D139">
        <v>13</v>
      </c>
      <c r="E139">
        <v>28.571428571428569</v>
      </c>
      <c r="F139" t="b">
        <v>1</v>
      </c>
      <c r="G139">
        <v>45.8</v>
      </c>
      <c r="H139">
        <v>51.2</v>
      </c>
      <c r="I139">
        <v>57.3</v>
      </c>
      <c r="J139">
        <v>35.299999999999997</v>
      </c>
      <c r="K139">
        <v>47.400000000000013</v>
      </c>
      <c r="L139" t="s">
        <v>61</v>
      </c>
      <c r="M139">
        <v>4</v>
      </c>
      <c r="N139" t="s">
        <v>55</v>
      </c>
      <c r="O139">
        <v>4</v>
      </c>
      <c r="P139">
        <v>8</v>
      </c>
      <c r="Q139">
        <v>27</v>
      </c>
      <c r="R139" t="s">
        <v>30</v>
      </c>
      <c r="S139">
        <v>3</v>
      </c>
      <c r="T139" t="s">
        <v>39</v>
      </c>
      <c r="U139" t="s">
        <v>32</v>
      </c>
      <c r="V139">
        <v>1</v>
      </c>
      <c r="W139">
        <v>1</v>
      </c>
      <c r="X139">
        <v>0</v>
      </c>
      <c r="Y139">
        <v>8</v>
      </c>
      <c r="Z139" t="s">
        <v>33</v>
      </c>
    </row>
    <row r="140" spans="1:26" x14ac:dyDescent="0.3">
      <c r="A140" t="s">
        <v>86</v>
      </c>
      <c r="B140" t="s">
        <v>57</v>
      </c>
      <c r="C140">
        <v>36</v>
      </c>
      <c r="D140">
        <v>8</v>
      </c>
      <c r="E140">
        <v>50</v>
      </c>
      <c r="F140" t="b">
        <v>1</v>
      </c>
      <c r="G140">
        <v>40</v>
      </c>
      <c r="H140">
        <v>41.2</v>
      </c>
      <c r="I140">
        <v>33.6</v>
      </c>
      <c r="J140">
        <v>48.4</v>
      </c>
      <c r="K140">
        <v>40.799999999999997</v>
      </c>
      <c r="L140" t="s">
        <v>61</v>
      </c>
      <c r="M140">
        <v>4</v>
      </c>
      <c r="N140" t="s">
        <v>55</v>
      </c>
      <c r="O140">
        <v>17</v>
      </c>
      <c r="P140">
        <v>7</v>
      </c>
      <c r="Q140">
        <v>47</v>
      </c>
      <c r="R140" t="s">
        <v>30</v>
      </c>
      <c r="S140">
        <v>4</v>
      </c>
      <c r="T140" t="s">
        <v>58</v>
      </c>
      <c r="U140" t="s">
        <v>32</v>
      </c>
      <c r="V140">
        <v>1</v>
      </c>
      <c r="W140">
        <v>0</v>
      </c>
      <c r="X140">
        <v>0</v>
      </c>
      <c r="Y140">
        <v>7</v>
      </c>
      <c r="Z140" t="s">
        <v>33</v>
      </c>
    </row>
    <row r="141" spans="1:26" x14ac:dyDescent="0.3">
      <c r="A141" t="s">
        <v>86</v>
      </c>
      <c r="B141" t="s">
        <v>45</v>
      </c>
      <c r="C141">
        <v>36</v>
      </c>
      <c r="D141">
        <v>18</v>
      </c>
      <c r="E141">
        <v>55.555555555555557</v>
      </c>
      <c r="F141" t="b">
        <v>1</v>
      </c>
      <c r="G141">
        <v>49.1</v>
      </c>
      <c r="H141">
        <v>55.5</v>
      </c>
      <c r="I141">
        <v>45.9</v>
      </c>
      <c r="J141">
        <v>45.8</v>
      </c>
      <c r="K141">
        <v>49.075000000000003</v>
      </c>
      <c r="L141" t="s">
        <v>61</v>
      </c>
      <c r="M141">
        <v>4</v>
      </c>
      <c r="N141" t="s">
        <v>55</v>
      </c>
      <c r="O141">
        <v>5</v>
      </c>
      <c r="P141">
        <v>9</v>
      </c>
      <c r="Q141">
        <v>40</v>
      </c>
      <c r="R141" t="s">
        <v>46</v>
      </c>
      <c r="S141">
        <v>4</v>
      </c>
      <c r="T141" t="s">
        <v>47</v>
      </c>
      <c r="U141" t="s">
        <v>32</v>
      </c>
      <c r="V141">
        <v>1</v>
      </c>
      <c r="W141">
        <v>0</v>
      </c>
      <c r="X141">
        <v>0</v>
      </c>
      <c r="Y141">
        <v>9</v>
      </c>
      <c r="Z141" t="s">
        <v>33</v>
      </c>
    </row>
    <row r="142" spans="1:26" x14ac:dyDescent="0.3">
      <c r="A142" t="s">
        <v>87</v>
      </c>
      <c r="B142" t="s">
        <v>27</v>
      </c>
      <c r="C142">
        <v>36</v>
      </c>
      <c r="D142">
        <v>20</v>
      </c>
      <c r="E142">
        <v>52.777777777777779</v>
      </c>
      <c r="F142" t="b">
        <v>1</v>
      </c>
      <c r="G142">
        <v>67.599999999999994</v>
      </c>
      <c r="H142">
        <v>81.2</v>
      </c>
      <c r="I142">
        <v>44.5</v>
      </c>
      <c r="J142">
        <v>62.7</v>
      </c>
      <c r="K142">
        <v>64</v>
      </c>
      <c r="L142" t="s">
        <v>28</v>
      </c>
      <c r="M142">
        <v>3</v>
      </c>
      <c r="N142" t="s">
        <v>55</v>
      </c>
      <c r="O142">
        <v>7</v>
      </c>
      <c r="P142">
        <v>9</v>
      </c>
      <c r="Q142">
        <v>23</v>
      </c>
      <c r="R142" t="s">
        <v>30</v>
      </c>
      <c r="S142">
        <v>4</v>
      </c>
      <c r="T142" t="s">
        <v>31</v>
      </c>
      <c r="U142" t="s">
        <v>36</v>
      </c>
      <c r="V142">
        <v>1</v>
      </c>
      <c r="W142">
        <v>0</v>
      </c>
      <c r="X142">
        <v>0</v>
      </c>
      <c r="Y142">
        <v>9</v>
      </c>
      <c r="Z142" t="s">
        <v>37</v>
      </c>
    </row>
    <row r="143" spans="1:26" x14ac:dyDescent="0.3">
      <c r="A143" t="s">
        <v>87</v>
      </c>
      <c r="B143" t="s">
        <v>51</v>
      </c>
      <c r="C143">
        <v>27</v>
      </c>
      <c r="D143">
        <v>19</v>
      </c>
      <c r="E143">
        <v>74.074074074074076</v>
      </c>
      <c r="F143" t="b">
        <v>1</v>
      </c>
      <c r="G143">
        <v>70</v>
      </c>
      <c r="H143">
        <v>69.2</v>
      </c>
      <c r="I143">
        <v>74.599999999999994</v>
      </c>
      <c r="J143">
        <v>78.5</v>
      </c>
      <c r="K143">
        <v>73.074999999999989</v>
      </c>
      <c r="L143" t="s">
        <v>28</v>
      </c>
      <c r="M143">
        <v>3</v>
      </c>
      <c r="N143" t="s">
        <v>55</v>
      </c>
      <c r="O143">
        <v>15</v>
      </c>
      <c r="P143">
        <v>9</v>
      </c>
      <c r="Q143">
        <v>56</v>
      </c>
      <c r="R143" t="s">
        <v>30</v>
      </c>
      <c r="S143">
        <v>3</v>
      </c>
      <c r="T143" t="s">
        <v>52</v>
      </c>
      <c r="U143" t="s">
        <v>36</v>
      </c>
      <c r="V143">
        <v>1</v>
      </c>
      <c r="W143">
        <v>0</v>
      </c>
      <c r="X143">
        <v>0</v>
      </c>
      <c r="Y143">
        <v>9</v>
      </c>
      <c r="Z143" t="s">
        <v>37</v>
      </c>
    </row>
    <row r="144" spans="1:26" x14ac:dyDescent="0.3">
      <c r="A144" t="s">
        <v>87</v>
      </c>
      <c r="B144" t="s">
        <v>38</v>
      </c>
      <c r="C144">
        <v>39</v>
      </c>
      <c r="D144">
        <v>20</v>
      </c>
      <c r="E144">
        <v>89.743589743589752</v>
      </c>
      <c r="F144" t="b">
        <v>1</v>
      </c>
      <c r="G144">
        <v>58</v>
      </c>
      <c r="H144">
        <v>89.8</v>
      </c>
      <c r="I144">
        <v>95.4</v>
      </c>
      <c r="J144">
        <v>80.400000000000006</v>
      </c>
      <c r="K144">
        <v>80.900000000000006</v>
      </c>
      <c r="L144" t="s">
        <v>28</v>
      </c>
      <c r="M144">
        <v>3</v>
      </c>
      <c r="N144" t="s">
        <v>55</v>
      </c>
      <c r="O144">
        <v>21</v>
      </c>
      <c r="P144">
        <v>5</v>
      </c>
      <c r="Q144">
        <v>60</v>
      </c>
      <c r="R144" t="s">
        <v>30</v>
      </c>
      <c r="S144">
        <v>3</v>
      </c>
      <c r="T144" t="s">
        <v>39</v>
      </c>
      <c r="U144" t="s">
        <v>56</v>
      </c>
      <c r="V144">
        <v>0</v>
      </c>
      <c r="W144">
        <v>0</v>
      </c>
      <c r="X144">
        <v>0</v>
      </c>
      <c r="Y144">
        <v>5</v>
      </c>
      <c r="Z144" t="s">
        <v>37</v>
      </c>
    </row>
    <row r="145" spans="1:26" x14ac:dyDescent="0.3">
      <c r="A145" t="s">
        <v>87</v>
      </c>
      <c r="B145" t="s">
        <v>57</v>
      </c>
      <c r="C145">
        <v>34</v>
      </c>
      <c r="D145">
        <v>35</v>
      </c>
      <c r="E145">
        <v>61.764705882352942</v>
      </c>
      <c r="F145" t="b">
        <v>1</v>
      </c>
      <c r="G145">
        <v>82</v>
      </c>
      <c r="H145">
        <v>70.900000000000006</v>
      </c>
      <c r="I145">
        <v>60.9</v>
      </c>
      <c r="J145">
        <v>67.8</v>
      </c>
      <c r="K145">
        <v>70.400000000000006</v>
      </c>
      <c r="L145" t="s">
        <v>28</v>
      </c>
      <c r="M145">
        <v>3</v>
      </c>
      <c r="N145" t="s">
        <v>55</v>
      </c>
      <c r="P145">
        <v>5</v>
      </c>
      <c r="R145" t="s">
        <v>30</v>
      </c>
      <c r="S145">
        <v>4</v>
      </c>
      <c r="T145" t="s">
        <v>58</v>
      </c>
      <c r="U145" t="s">
        <v>36</v>
      </c>
      <c r="V145">
        <v>1</v>
      </c>
      <c r="W145">
        <v>1</v>
      </c>
      <c r="X145">
        <v>0</v>
      </c>
      <c r="Y145">
        <v>5</v>
      </c>
      <c r="Z145" t="s">
        <v>37</v>
      </c>
    </row>
    <row r="146" spans="1:26" x14ac:dyDescent="0.3">
      <c r="A146" t="s">
        <v>87</v>
      </c>
      <c r="B146" t="s">
        <v>45</v>
      </c>
      <c r="C146">
        <v>24</v>
      </c>
      <c r="D146">
        <v>21</v>
      </c>
      <c r="E146">
        <v>70.833333333333343</v>
      </c>
      <c r="F146" t="b">
        <v>1</v>
      </c>
      <c r="G146">
        <v>71.3</v>
      </c>
      <c r="H146">
        <v>57.6</v>
      </c>
      <c r="I146">
        <v>81.2</v>
      </c>
      <c r="J146">
        <v>79.599999999999994</v>
      </c>
      <c r="K146">
        <v>72.425000000000011</v>
      </c>
      <c r="L146" t="s">
        <v>28</v>
      </c>
      <c r="M146">
        <v>3</v>
      </c>
      <c r="N146" t="s">
        <v>55</v>
      </c>
      <c r="O146">
        <v>20</v>
      </c>
      <c r="P146">
        <v>9</v>
      </c>
      <c r="Q146">
        <v>54</v>
      </c>
      <c r="R146" t="s">
        <v>46</v>
      </c>
      <c r="S146">
        <v>4</v>
      </c>
      <c r="T146" t="s">
        <v>47</v>
      </c>
      <c r="U146" t="s">
        <v>36</v>
      </c>
      <c r="V146">
        <v>1</v>
      </c>
      <c r="W146">
        <v>0</v>
      </c>
      <c r="X146">
        <v>0</v>
      </c>
      <c r="Y146">
        <v>9</v>
      </c>
      <c r="Z146" t="s">
        <v>37</v>
      </c>
    </row>
    <row r="147" spans="1:26" x14ac:dyDescent="0.3">
      <c r="A147" t="s">
        <v>88</v>
      </c>
      <c r="B147" t="s">
        <v>51</v>
      </c>
      <c r="C147">
        <v>34</v>
      </c>
      <c r="D147">
        <v>17</v>
      </c>
      <c r="E147">
        <v>64.705882352941174</v>
      </c>
      <c r="F147" t="b">
        <v>1</v>
      </c>
      <c r="G147">
        <v>58</v>
      </c>
      <c r="H147">
        <v>43.9</v>
      </c>
      <c r="I147">
        <v>49</v>
      </c>
      <c r="J147">
        <v>58.8</v>
      </c>
      <c r="K147">
        <v>52.424999999999997</v>
      </c>
      <c r="L147" t="s">
        <v>28</v>
      </c>
      <c r="M147">
        <v>6</v>
      </c>
      <c r="N147" t="s">
        <v>55</v>
      </c>
      <c r="O147">
        <v>15</v>
      </c>
      <c r="P147">
        <v>9</v>
      </c>
      <c r="Q147">
        <v>40</v>
      </c>
      <c r="R147" t="s">
        <v>30</v>
      </c>
      <c r="S147">
        <v>3</v>
      </c>
      <c r="T147" t="s">
        <v>52</v>
      </c>
      <c r="U147" t="s">
        <v>32</v>
      </c>
      <c r="V147">
        <v>1</v>
      </c>
      <c r="W147">
        <v>0</v>
      </c>
      <c r="X147">
        <v>0</v>
      </c>
      <c r="Y147">
        <v>9</v>
      </c>
      <c r="Z147" t="s">
        <v>33</v>
      </c>
    </row>
    <row r="148" spans="1:26" x14ac:dyDescent="0.3">
      <c r="A148" t="s">
        <v>88</v>
      </c>
      <c r="B148" t="s">
        <v>34</v>
      </c>
      <c r="C148">
        <v>33</v>
      </c>
      <c r="D148">
        <v>22</v>
      </c>
      <c r="E148">
        <v>69.696969696969703</v>
      </c>
      <c r="F148" t="b">
        <v>1</v>
      </c>
      <c r="G148">
        <v>55.1</v>
      </c>
      <c r="H148">
        <v>46</v>
      </c>
      <c r="I148">
        <v>22.9</v>
      </c>
      <c r="J148">
        <v>43.3</v>
      </c>
      <c r="K148">
        <v>41.825000000000003</v>
      </c>
      <c r="L148" t="s">
        <v>28</v>
      </c>
      <c r="M148">
        <v>6</v>
      </c>
      <c r="N148" t="s">
        <v>55</v>
      </c>
      <c r="O148">
        <v>12</v>
      </c>
      <c r="P148">
        <v>10</v>
      </c>
      <c r="Q148">
        <v>48</v>
      </c>
      <c r="R148" t="s">
        <v>35</v>
      </c>
      <c r="S148">
        <v>2</v>
      </c>
      <c r="T148" t="s">
        <v>31</v>
      </c>
      <c r="U148" t="s">
        <v>32</v>
      </c>
      <c r="V148">
        <v>1</v>
      </c>
      <c r="W148">
        <v>0</v>
      </c>
      <c r="X148">
        <v>0</v>
      </c>
      <c r="Y148">
        <v>10</v>
      </c>
      <c r="Z148" t="s">
        <v>33</v>
      </c>
    </row>
    <row r="149" spans="1:26" x14ac:dyDescent="0.3">
      <c r="A149" t="s">
        <v>88</v>
      </c>
      <c r="B149" t="s">
        <v>38</v>
      </c>
      <c r="C149">
        <v>30</v>
      </c>
      <c r="D149">
        <v>23</v>
      </c>
      <c r="E149">
        <v>53.333333333333343</v>
      </c>
      <c r="F149" t="b">
        <v>1</v>
      </c>
      <c r="G149">
        <v>62.4</v>
      </c>
      <c r="H149">
        <v>38.4</v>
      </c>
      <c r="I149">
        <v>67.3</v>
      </c>
      <c r="J149">
        <v>53.6</v>
      </c>
      <c r="K149">
        <v>55.424999999999997</v>
      </c>
      <c r="L149" t="s">
        <v>28</v>
      </c>
      <c r="M149">
        <v>6</v>
      </c>
      <c r="N149" t="s">
        <v>55</v>
      </c>
      <c r="O149">
        <v>10</v>
      </c>
      <c r="P149">
        <v>7</v>
      </c>
      <c r="Q149">
        <v>31</v>
      </c>
      <c r="R149" t="s">
        <v>30</v>
      </c>
      <c r="S149">
        <v>3</v>
      </c>
      <c r="T149" t="s">
        <v>39</v>
      </c>
      <c r="U149" t="s">
        <v>32</v>
      </c>
      <c r="V149">
        <v>1</v>
      </c>
      <c r="W149">
        <v>0</v>
      </c>
      <c r="X149">
        <v>0</v>
      </c>
      <c r="Y149">
        <v>7</v>
      </c>
      <c r="Z149" t="s">
        <v>33</v>
      </c>
    </row>
    <row r="150" spans="1:26" x14ac:dyDescent="0.3">
      <c r="A150" t="s">
        <v>88</v>
      </c>
      <c r="B150" t="s">
        <v>57</v>
      </c>
      <c r="C150">
        <v>34</v>
      </c>
      <c r="D150">
        <v>16</v>
      </c>
      <c r="E150">
        <v>29.411764705882359</v>
      </c>
      <c r="F150" t="b">
        <v>1</v>
      </c>
      <c r="G150">
        <v>42.9</v>
      </c>
      <c r="H150">
        <v>39.299999999999997</v>
      </c>
      <c r="I150">
        <v>54.2</v>
      </c>
      <c r="J150">
        <v>52.8</v>
      </c>
      <c r="K150">
        <v>47.3</v>
      </c>
      <c r="L150" t="s">
        <v>28</v>
      </c>
      <c r="M150">
        <v>6</v>
      </c>
      <c r="N150" t="s">
        <v>55</v>
      </c>
      <c r="O150">
        <v>9</v>
      </c>
      <c r="P150">
        <v>7</v>
      </c>
      <c r="Q150">
        <v>46</v>
      </c>
      <c r="R150" t="s">
        <v>30</v>
      </c>
      <c r="S150">
        <v>4</v>
      </c>
      <c r="T150" t="s">
        <v>58</v>
      </c>
      <c r="U150" t="s">
        <v>32</v>
      </c>
      <c r="V150">
        <v>1</v>
      </c>
      <c r="W150">
        <v>0</v>
      </c>
      <c r="X150">
        <v>0</v>
      </c>
      <c r="Y150">
        <v>7</v>
      </c>
      <c r="Z150" t="s">
        <v>33</v>
      </c>
    </row>
    <row r="151" spans="1:26" x14ac:dyDescent="0.3">
      <c r="A151" t="s">
        <v>88</v>
      </c>
      <c r="B151" t="s">
        <v>45</v>
      </c>
      <c r="C151">
        <v>27</v>
      </c>
      <c r="D151">
        <v>10</v>
      </c>
      <c r="E151">
        <v>66.666666666666657</v>
      </c>
      <c r="F151" t="b">
        <v>1</v>
      </c>
      <c r="G151">
        <v>50.9</v>
      </c>
      <c r="H151">
        <v>11.1</v>
      </c>
      <c r="I151">
        <v>26</v>
      </c>
      <c r="J151">
        <v>52.8</v>
      </c>
      <c r="K151">
        <v>35.200000000000003</v>
      </c>
      <c r="L151" t="s">
        <v>28</v>
      </c>
      <c r="M151">
        <v>6</v>
      </c>
      <c r="N151" t="s">
        <v>55</v>
      </c>
      <c r="O151">
        <v>15</v>
      </c>
      <c r="P151">
        <v>5</v>
      </c>
      <c r="Q151">
        <v>37</v>
      </c>
      <c r="R151" t="s">
        <v>46</v>
      </c>
      <c r="S151">
        <v>4</v>
      </c>
      <c r="T151" t="s">
        <v>47</v>
      </c>
      <c r="U151" t="s">
        <v>68</v>
      </c>
      <c r="V151">
        <v>1</v>
      </c>
      <c r="W151">
        <v>0</v>
      </c>
      <c r="X151">
        <v>0</v>
      </c>
      <c r="Y151">
        <v>5</v>
      </c>
      <c r="Z151" t="s">
        <v>33</v>
      </c>
    </row>
    <row r="152" spans="1:26" x14ac:dyDescent="0.3">
      <c r="A152" t="s">
        <v>89</v>
      </c>
      <c r="B152" t="s">
        <v>27</v>
      </c>
      <c r="C152">
        <v>26</v>
      </c>
      <c r="D152">
        <v>18</v>
      </c>
      <c r="E152">
        <v>34.615384615384613</v>
      </c>
      <c r="F152" t="b">
        <v>1</v>
      </c>
      <c r="G152">
        <v>33.799999999999997</v>
      </c>
      <c r="H152">
        <v>41</v>
      </c>
      <c r="I152">
        <v>70.7</v>
      </c>
      <c r="J152">
        <v>52.2</v>
      </c>
      <c r="K152">
        <v>49.424999999999997</v>
      </c>
      <c r="L152" t="s">
        <v>54</v>
      </c>
      <c r="M152">
        <v>6</v>
      </c>
      <c r="N152" t="s">
        <v>55</v>
      </c>
      <c r="O152">
        <v>15</v>
      </c>
      <c r="P152">
        <v>4</v>
      </c>
      <c r="Q152">
        <v>41</v>
      </c>
      <c r="R152" t="s">
        <v>30</v>
      </c>
      <c r="S152">
        <v>4</v>
      </c>
      <c r="T152" t="s">
        <v>31</v>
      </c>
      <c r="U152" t="s">
        <v>32</v>
      </c>
      <c r="V152">
        <v>1</v>
      </c>
      <c r="W152">
        <v>0</v>
      </c>
      <c r="X152">
        <v>0</v>
      </c>
      <c r="Y152">
        <v>4</v>
      </c>
      <c r="Z152" t="s">
        <v>33</v>
      </c>
    </row>
    <row r="153" spans="1:26" x14ac:dyDescent="0.3">
      <c r="A153" t="s">
        <v>89</v>
      </c>
      <c r="B153" t="s">
        <v>51</v>
      </c>
      <c r="C153">
        <v>36</v>
      </c>
      <c r="D153">
        <v>9</v>
      </c>
      <c r="E153">
        <v>44.444444444444443</v>
      </c>
      <c r="F153" t="b">
        <v>1</v>
      </c>
      <c r="G153">
        <v>38.5</v>
      </c>
      <c r="H153">
        <v>55.1</v>
      </c>
      <c r="I153">
        <v>42.8</v>
      </c>
      <c r="J153">
        <v>61.4</v>
      </c>
      <c r="K153">
        <v>49.45</v>
      </c>
      <c r="L153" t="s">
        <v>54</v>
      </c>
      <c r="M153">
        <v>6</v>
      </c>
      <c r="N153" t="s">
        <v>55</v>
      </c>
      <c r="O153">
        <v>12</v>
      </c>
      <c r="P153">
        <v>7</v>
      </c>
      <c r="Q153">
        <v>39</v>
      </c>
      <c r="R153" t="s">
        <v>30</v>
      </c>
      <c r="S153">
        <v>3</v>
      </c>
      <c r="T153" t="s">
        <v>52</v>
      </c>
      <c r="U153" t="s">
        <v>32</v>
      </c>
      <c r="V153">
        <v>1</v>
      </c>
      <c r="W153">
        <v>0</v>
      </c>
      <c r="X153">
        <v>0</v>
      </c>
      <c r="Y153">
        <v>7</v>
      </c>
      <c r="Z153" t="s">
        <v>33</v>
      </c>
    </row>
    <row r="154" spans="1:26" x14ac:dyDescent="0.3">
      <c r="A154" t="s">
        <v>89</v>
      </c>
      <c r="B154" t="s">
        <v>34</v>
      </c>
      <c r="C154">
        <v>32</v>
      </c>
      <c r="D154">
        <v>16</v>
      </c>
      <c r="E154">
        <v>46.875</v>
      </c>
      <c r="F154" t="b">
        <v>1</v>
      </c>
      <c r="G154">
        <v>53.7</v>
      </c>
      <c r="H154">
        <v>55</v>
      </c>
      <c r="I154">
        <v>42.8</v>
      </c>
      <c r="J154">
        <v>65</v>
      </c>
      <c r="K154">
        <v>54.125</v>
      </c>
      <c r="L154" t="s">
        <v>54</v>
      </c>
      <c r="M154">
        <v>6</v>
      </c>
      <c r="N154" t="s">
        <v>55</v>
      </c>
      <c r="O154">
        <v>14</v>
      </c>
      <c r="P154">
        <v>7</v>
      </c>
      <c r="Q154">
        <v>46</v>
      </c>
      <c r="R154" t="s">
        <v>35</v>
      </c>
      <c r="S154">
        <v>2</v>
      </c>
      <c r="T154" t="s">
        <v>31</v>
      </c>
      <c r="U154" t="s">
        <v>32</v>
      </c>
      <c r="V154">
        <v>1</v>
      </c>
      <c r="W154">
        <v>0</v>
      </c>
      <c r="X154">
        <v>0</v>
      </c>
      <c r="Y154">
        <v>7</v>
      </c>
      <c r="Z154" t="s">
        <v>33</v>
      </c>
    </row>
    <row r="155" spans="1:26" x14ac:dyDescent="0.3">
      <c r="A155" t="s">
        <v>89</v>
      </c>
      <c r="B155" t="s">
        <v>42</v>
      </c>
      <c r="C155">
        <v>35</v>
      </c>
      <c r="D155">
        <v>15</v>
      </c>
      <c r="E155">
        <v>40</v>
      </c>
      <c r="F155" t="b">
        <v>1</v>
      </c>
      <c r="G155">
        <v>29.6</v>
      </c>
      <c r="H155">
        <v>59.5</v>
      </c>
      <c r="I155">
        <v>72.3</v>
      </c>
      <c r="J155">
        <v>63.7</v>
      </c>
      <c r="K155">
        <v>56.274999999999991</v>
      </c>
      <c r="L155" t="s">
        <v>54</v>
      </c>
      <c r="M155">
        <v>6</v>
      </c>
      <c r="N155" t="s">
        <v>55</v>
      </c>
      <c r="O155">
        <v>15</v>
      </c>
      <c r="P155">
        <v>7</v>
      </c>
      <c r="Q155">
        <v>47</v>
      </c>
      <c r="R155" t="s">
        <v>43</v>
      </c>
      <c r="S155">
        <v>3</v>
      </c>
      <c r="T155" t="s">
        <v>44</v>
      </c>
      <c r="U155" t="s">
        <v>32</v>
      </c>
      <c r="V155">
        <v>1</v>
      </c>
      <c r="W155">
        <v>0</v>
      </c>
      <c r="X155">
        <v>0</v>
      </c>
      <c r="Y155">
        <v>7</v>
      </c>
      <c r="Z155" t="s">
        <v>33</v>
      </c>
    </row>
    <row r="156" spans="1:26" x14ac:dyDescent="0.3">
      <c r="A156" t="s">
        <v>90</v>
      </c>
      <c r="B156" t="s">
        <v>27</v>
      </c>
      <c r="C156">
        <v>31</v>
      </c>
      <c r="D156">
        <v>14</v>
      </c>
      <c r="E156">
        <v>45.161290322580641</v>
      </c>
      <c r="F156" t="b">
        <v>1</v>
      </c>
      <c r="G156">
        <v>70.2</v>
      </c>
      <c r="H156">
        <v>71</v>
      </c>
      <c r="I156">
        <v>75.2</v>
      </c>
      <c r="J156">
        <v>71.5</v>
      </c>
      <c r="K156">
        <v>71.974999999999994</v>
      </c>
      <c r="L156" t="s">
        <v>61</v>
      </c>
      <c r="M156">
        <v>3</v>
      </c>
      <c r="N156" t="s">
        <v>55</v>
      </c>
      <c r="O156">
        <v>18</v>
      </c>
      <c r="P156">
        <v>9</v>
      </c>
      <c r="Q156">
        <v>52</v>
      </c>
      <c r="R156" t="s">
        <v>30</v>
      </c>
      <c r="S156">
        <v>4</v>
      </c>
      <c r="T156" t="s">
        <v>31</v>
      </c>
      <c r="U156" t="s">
        <v>36</v>
      </c>
      <c r="V156">
        <v>1</v>
      </c>
      <c r="W156">
        <v>0</v>
      </c>
      <c r="X156">
        <v>0</v>
      </c>
      <c r="Y156">
        <v>9</v>
      </c>
      <c r="Z156" t="s">
        <v>37</v>
      </c>
    </row>
    <row r="157" spans="1:26" x14ac:dyDescent="0.3">
      <c r="A157" t="s">
        <v>90</v>
      </c>
      <c r="B157" t="s">
        <v>34</v>
      </c>
      <c r="C157">
        <v>25</v>
      </c>
      <c r="D157">
        <v>14</v>
      </c>
      <c r="E157">
        <v>28</v>
      </c>
      <c r="F157" t="b">
        <v>1</v>
      </c>
      <c r="G157">
        <v>57</v>
      </c>
      <c r="H157">
        <v>80.8</v>
      </c>
      <c r="I157">
        <v>53.8</v>
      </c>
      <c r="J157">
        <v>75.7</v>
      </c>
      <c r="K157">
        <v>66.825000000000003</v>
      </c>
      <c r="L157" t="s">
        <v>61</v>
      </c>
      <c r="M157">
        <v>3</v>
      </c>
      <c r="N157" t="s">
        <v>55</v>
      </c>
      <c r="P157">
        <v>9</v>
      </c>
      <c r="R157" t="s">
        <v>35</v>
      </c>
      <c r="S157">
        <v>2</v>
      </c>
      <c r="T157" t="s">
        <v>31</v>
      </c>
      <c r="U157" t="s">
        <v>36</v>
      </c>
      <c r="V157">
        <v>1</v>
      </c>
      <c r="W157">
        <v>1</v>
      </c>
      <c r="X157">
        <v>0</v>
      </c>
      <c r="Y157">
        <v>9</v>
      </c>
      <c r="Z157" t="s">
        <v>37</v>
      </c>
    </row>
    <row r="158" spans="1:26" x14ac:dyDescent="0.3">
      <c r="A158" t="s">
        <v>90</v>
      </c>
      <c r="B158" t="s">
        <v>40</v>
      </c>
      <c r="C158">
        <v>28</v>
      </c>
      <c r="D158">
        <v>7</v>
      </c>
      <c r="E158">
        <v>89.285714285714292</v>
      </c>
      <c r="F158" t="b">
        <v>1</v>
      </c>
      <c r="G158">
        <v>51.5</v>
      </c>
      <c r="H158">
        <v>68.8</v>
      </c>
      <c r="I158">
        <v>61</v>
      </c>
      <c r="J158">
        <v>53.8</v>
      </c>
      <c r="K158">
        <v>58.775000000000013</v>
      </c>
      <c r="L158" t="s">
        <v>61</v>
      </c>
      <c r="M158">
        <v>3</v>
      </c>
      <c r="N158" t="s">
        <v>55</v>
      </c>
      <c r="O158">
        <v>25</v>
      </c>
      <c r="P158">
        <v>8</v>
      </c>
      <c r="Q158">
        <v>55</v>
      </c>
      <c r="R158" t="s">
        <v>30</v>
      </c>
      <c r="S158">
        <v>3</v>
      </c>
      <c r="T158" t="s">
        <v>41</v>
      </c>
      <c r="U158" t="s">
        <v>32</v>
      </c>
      <c r="V158">
        <v>0</v>
      </c>
      <c r="W158">
        <v>0</v>
      </c>
      <c r="X158">
        <v>0</v>
      </c>
      <c r="Y158">
        <v>8</v>
      </c>
      <c r="Z158" t="s">
        <v>37</v>
      </c>
    </row>
    <row r="159" spans="1:26" x14ac:dyDescent="0.3">
      <c r="A159" t="s">
        <v>90</v>
      </c>
      <c r="B159" t="s">
        <v>57</v>
      </c>
      <c r="C159">
        <v>39</v>
      </c>
      <c r="D159">
        <v>25</v>
      </c>
      <c r="E159">
        <v>76.923076923076934</v>
      </c>
      <c r="F159" t="b">
        <v>1</v>
      </c>
      <c r="G159">
        <v>49.7</v>
      </c>
      <c r="H159">
        <v>87.6</v>
      </c>
      <c r="I159">
        <v>72.099999999999994</v>
      </c>
      <c r="J159">
        <v>71.8</v>
      </c>
      <c r="K159">
        <v>70.3</v>
      </c>
      <c r="L159" t="s">
        <v>61</v>
      </c>
      <c r="M159">
        <v>3</v>
      </c>
      <c r="N159" t="s">
        <v>55</v>
      </c>
      <c r="O159">
        <v>26</v>
      </c>
      <c r="P159">
        <v>9</v>
      </c>
      <c r="Q159">
        <v>67</v>
      </c>
      <c r="R159" t="s">
        <v>30</v>
      </c>
      <c r="S159">
        <v>4</v>
      </c>
      <c r="T159" t="s">
        <v>58</v>
      </c>
      <c r="U159" t="s">
        <v>36</v>
      </c>
      <c r="V159">
        <v>0</v>
      </c>
      <c r="W159">
        <v>0</v>
      </c>
      <c r="X159">
        <v>0</v>
      </c>
      <c r="Y159">
        <v>9</v>
      </c>
      <c r="Z159" t="s">
        <v>37</v>
      </c>
    </row>
    <row r="160" spans="1:26" x14ac:dyDescent="0.3">
      <c r="A160" t="s">
        <v>90</v>
      </c>
      <c r="B160" t="s">
        <v>42</v>
      </c>
      <c r="C160">
        <v>24</v>
      </c>
      <c r="D160">
        <v>30</v>
      </c>
      <c r="E160">
        <v>70.833333333333343</v>
      </c>
      <c r="F160" t="b">
        <v>1</v>
      </c>
      <c r="G160">
        <v>64.3</v>
      </c>
      <c r="H160">
        <v>61.2</v>
      </c>
      <c r="I160">
        <v>63.9</v>
      </c>
      <c r="J160">
        <v>70.5</v>
      </c>
      <c r="K160">
        <v>64.974999999999994</v>
      </c>
      <c r="L160" t="s">
        <v>61</v>
      </c>
      <c r="M160">
        <v>3</v>
      </c>
      <c r="N160" t="s">
        <v>55</v>
      </c>
      <c r="O160">
        <v>11</v>
      </c>
      <c r="P160">
        <v>6</v>
      </c>
      <c r="Q160">
        <v>45</v>
      </c>
      <c r="R160" t="s">
        <v>43</v>
      </c>
      <c r="S160">
        <v>3</v>
      </c>
      <c r="T160" t="s">
        <v>44</v>
      </c>
      <c r="U160" t="s">
        <v>36</v>
      </c>
      <c r="V160">
        <v>1</v>
      </c>
      <c r="W160">
        <v>0</v>
      </c>
      <c r="X160">
        <v>0</v>
      </c>
      <c r="Y160">
        <v>6</v>
      </c>
      <c r="Z160" t="s">
        <v>37</v>
      </c>
    </row>
    <row r="161" spans="1:26" x14ac:dyDescent="0.3">
      <c r="A161" t="s">
        <v>91</v>
      </c>
      <c r="B161" t="s">
        <v>27</v>
      </c>
      <c r="C161">
        <v>36</v>
      </c>
      <c r="D161">
        <v>17</v>
      </c>
      <c r="E161">
        <v>75</v>
      </c>
      <c r="F161" t="b">
        <v>1</v>
      </c>
      <c r="G161">
        <v>77.7</v>
      </c>
      <c r="H161">
        <v>84.1</v>
      </c>
      <c r="I161">
        <v>64.400000000000006</v>
      </c>
      <c r="J161">
        <v>64</v>
      </c>
      <c r="K161">
        <v>72.550000000000011</v>
      </c>
      <c r="L161" t="s">
        <v>61</v>
      </c>
      <c r="M161">
        <v>5</v>
      </c>
      <c r="N161" t="s">
        <v>50</v>
      </c>
      <c r="O161">
        <v>15</v>
      </c>
      <c r="P161">
        <v>6</v>
      </c>
      <c r="Q161">
        <v>34</v>
      </c>
      <c r="R161" t="s">
        <v>30</v>
      </c>
      <c r="S161">
        <v>4</v>
      </c>
      <c r="T161" t="s">
        <v>31</v>
      </c>
      <c r="U161" t="s">
        <v>36</v>
      </c>
      <c r="V161">
        <v>0</v>
      </c>
      <c r="W161">
        <v>0</v>
      </c>
      <c r="X161">
        <v>0</v>
      </c>
      <c r="Y161">
        <v>6</v>
      </c>
      <c r="Z161" t="s">
        <v>37</v>
      </c>
    </row>
    <row r="162" spans="1:26" x14ac:dyDescent="0.3">
      <c r="A162" t="s">
        <v>91</v>
      </c>
      <c r="B162" t="s">
        <v>40</v>
      </c>
      <c r="C162">
        <v>29</v>
      </c>
      <c r="D162">
        <v>27</v>
      </c>
      <c r="E162">
        <v>51.724137931034477</v>
      </c>
      <c r="F162" t="b">
        <v>1</v>
      </c>
      <c r="G162">
        <v>40.200000000000003</v>
      </c>
      <c r="H162">
        <v>63.7</v>
      </c>
      <c r="I162">
        <v>57.1</v>
      </c>
      <c r="J162">
        <v>60</v>
      </c>
      <c r="K162">
        <v>55.25</v>
      </c>
      <c r="L162" t="s">
        <v>61</v>
      </c>
      <c r="M162">
        <v>5</v>
      </c>
      <c r="N162" t="s">
        <v>50</v>
      </c>
      <c r="O162">
        <v>11</v>
      </c>
      <c r="P162">
        <v>10</v>
      </c>
      <c r="Q162">
        <v>29</v>
      </c>
      <c r="R162" t="s">
        <v>30</v>
      </c>
      <c r="S162">
        <v>3</v>
      </c>
      <c r="T162" t="s">
        <v>41</v>
      </c>
      <c r="U162" t="s">
        <v>32</v>
      </c>
      <c r="V162">
        <v>1</v>
      </c>
      <c r="W162">
        <v>0</v>
      </c>
      <c r="X162">
        <v>0</v>
      </c>
      <c r="Y162">
        <v>10</v>
      </c>
      <c r="Z162" t="s">
        <v>33</v>
      </c>
    </row>
    <row r="163" spans="1:26" x14ac:dyDescent="0.3">
      <c r="A163" t="s">
        <v>91</v>
      </c>
      <c r="B163" t="s">
        <v>57</v>
      </c>
      <c r="C163">
        <v>29</v>
      </c>
      <c r="D163">
        <v>15</v>
      </c>
      <c r="E163">
        <v>41.379310344827587</v>
      </c>
      <c r="F163" t="b">
        <v>1</v>
      </c>
      <c r="G163">
        <v>46</v>
      </c>
      <c r="H163">
        <v>54.7</v>
      </c>
      <c r="I163">
        <v>29.1</v>
      </c>
      <c r="J163">
        <v>55.8</v>
      </c>
      <c r="K163">
        <v>46.400000000000013</v>
      </c>
      <c r="L163" t="s">
        <v>61</v>
      </c>
      <c r="M163">
        <v>5</v>
      </c>
      <c r="N163" t="s">
        <v>50</v>
      </c>
      <c r="O163">
        <v>16</v>
      </c>
      <c r="P163">
        <v>4</v>
      </c>
      <c r="Q163">
        <v>41</v>
      </c>
      <c r="R163" t="s">
        <v>30</v>
      </c>
      <c r="S163">
        <v>4</v>
      </c>
      <c r="T163" t="s">
        <v>58</v>
      </c>
      <c r="U163" t="s">
        <v>32</v>
      </c>
      <c r="V163">
        <v>1</v>
      </c>
      <c r="W163">
        <v>0</v>
      </c>
      <c r="X163">
        <v>0</v>
      </c>
      <c r="Y163">
        <v>4</v>
      </c>
      <c r="Z163" t="s">
        <v>33</v>
      </c>
    </row>
    <row r="164" spans="1:26" x14ac:dyDescent="0.3">
      <c r="A164" t="s">
        <v>91</v>
      </c>
      <c r="B164" t="s">
        <v>42</v>
      </c>
      <c r="C164">
        <v>32</v>
      </c>
      <c r="D164">
        <v>12</v>
      </c>
      <c r="E164">
        <v>65.625</v>
      </c>
      <c r="F164" t="b">
        <v>1</v>
      </c>
      <c r="G164">
        <v>57.2</v>
      </c>
      <c r="H164">
        <v>64.2</v>
      </c>
      <c r="I164">
        <v>72.400000000000006</v>
      </c>
      <c r="J164">
        <v>67.599999999999994</v>
      </c>
      <c r="K164">
        <v>65.349999999999994</v>
      </c>
      <c r="L164" t="s">
        <v>61</v>
      </c>
      <c r="M164">
        <v>5</v>
      </c>
      <c r="N164" t="s">
        <v>50</v>
      </c>
      <c r="O164">
        <v>20</v>
      </c>
      <c r="P164">
        <v>8</v>
      </c>
      <c r="Q164">
        <v>53</v>
      </c>
      <c r="R164" t="s">
        <v>43</v>
      </c>
      <c r="S164">
        <v>3</v>
      </c>
      <c r="T164" t="s">
        <v>44</v>
      </c>
      <c r="U164" t="s">
        <v>36</v>
      </c>
      <c r="V164">
        <v>1</v>
      </c>
      <c r="W164">
        <v>0</v>
      </c>
      <c r="X164">
        <v>0</v>
      </c>
      <c r="Y164">
        <v>8</v>
      </c>
      <c r="Z164" t="s">
        <v>37</v>
      </c>
    </row>
    <row r="165" spans="1:26" x14ac:dyDescent="0.3">
      <c r="A165" t="s">
        <v>91</v>
      </c>
      <c r="B165" t="s">
        <v>45</v>
      </c>
      <c r="C165">
        <v>29</v>
      </c>
      <c r="D165">
        <v>21</v>
      </c>
      <c r="E165">
        <v>65.517241379310349</v>
      </c>
      <c r="F165" t="b">
        <v>1</v>
      </c>
      <c r="G165">
        <v>55.1</v>
      </c>
      <c r="H165">
        <v>68.400000000000006</v>
      </c>
      <c r="I165">
        <v>62.1</v>
      </c>
      <c r="J165">
        <v>59.4</v>
      </c>
      <c r="K165">
        <v>61.25</v>
      </c>
      <c r="L165" t="s">
        <v>61</v>
      </c>
      <c r="M165">
        <v>5</v>
      </c>
      <c r="N165" t="s">
        <v>50</v>
      </c>
      <c r="O165">
        <v>15</v>
      </c>
      <c r="P165">
        <v>7</v>
      </c>
      <c r="Q165">
        <v>51</v>
      </c>
      <c r="R165" t="s">
        <v>46</v>
      </c>
      <c r="S165">
        <v>4</v>
      </c>
      <c r="T165" t="s">
        <v>47</v>
      </c>
      <c r="U165" t="s">
        <v>36</v>
      </c>
      <c r="V165">
        <v>1</v>
      </c>
      <c r="W165">
        <v>0</v>
      </c>
      <c r="X165">
        <v>0</v>
      </c>
      <c r="Y165">
        <v>7</v>
      </c>
      <c r="Z165" t="s">
        <v>37</v>
      </c>
    </row>
    <row r="166" spans="1:26" x14ac:dyDescent="0.3">
      <c r="A166" t="s">
        <v>92</v>
      </c>
      <c r="B166" t="s">
        <v>34</v>
      </c>
      <c r="C166">
        <v>37</v>
      </c>
      <c r="D166">
        <v>19</v>
      </c>
      <c r="E166">
        <v>70.270270270270274</v>
      </c>
      <c r="F166" t="b">
        <v>1</v>
      </c>
      <c r="G166">
        <v>67</v>
      </c>
      <c r="H166">
        <v>72.3</v>
      </c>
      <c r="I166">
        <v>67.3</v>
      </c>
      <c r="J166">
        <v>80.2</v>
      </c>
      <c r="K166">
        <v>71.7</v>
      </c>
      <c r="L166" t="s">
        <v>49</v>
      </c>
      <c r="M166">
        <v>3</v>
      </c>
      <c r="N166" t="s">
        <v>50</v>
      </c>
      <c r="O166">
        <v>21</v>
      </c>
      <c r="P166">
        <v>9</v>
      </c>
      <c r="Q166">
        <v>51</v>
      </c>
      <c r="R166" t="s">
        <v>35</v>
      </c>
      <c r="S166">
        <v>2</v>
      </c>
      <c r="T166" t="s">
        <v>31</v>
      </c>
      <c r="U166" t="s">
        <v>36</v>
      </c>
      <c r="V166">
        <v>1</v>
      </c>
      <c r="W166">
        <v>0</v>
      </c>
      <c r="X166">
        <v>0</v>
      </c>
      <c r="Y166">
        <v>9</v>
      </c>
      <c r="Z166" t="s">
        <v>37</v>
      </c>
    </row>
    <row r="167" spans="1:26" x14ac:dyDescent="0.3">
      <c r="A167" t="s">
        <v>92</v>
      </c>
      <c r="B167" t="s">
        <v>38</v>
      </c>
      <c r="C167">
        <v>31</v>
      </c>
      <c r="D167">
        <v>26</v>
      </c>
      <c r="E167">
        <v>64.516129032258064</v>
      </c>
      <c r="F167" t="b">
        <v>1</v>
      </c>
      <c r="G167">
        <v>95</v>
      </c>
      <c r="H167">
        <v>68.3</v>
      </c>
      <c r="I167">
        <v>72.400000000000006</v>
      </c>
      <c r="J167">
        <v>85.1</v>
      </c>
      <c r="K167">
        <v>80.2</v>
      </c>
      <c r="L167" t="s">
        <v>49</v>
      </c>
      <c r="M167">
        <v>3</v>
      </c>
      <c r="N167" t="s">
        <v>50</v>
      </c>
      <c r="O167">
        <v>18</v>
      </c>
      <c r="P167">
        <v>14</v>
      </c>
      <c r="Q167">
        <v>49</v>
      </c>
      <c r="R167" t="s">
        <v>30</v>
      </c>
      <c r="S167">
        <v>3</v>
      </c>
      <c r="T167" t="s">
        <v>39</v>
      </c>
      <c r="U167" t="s">
        <v>56</v>
      </c>
      <c r="V167">
        <v>1</v>
      </c>
      <c r="W167">
        <v>0</v>
      </c>
      <c r="X167">
        <v>0</v>
      </c>
      <c r="Y167">
        <v>14</v>
      </c>
      <c r="Z167" t="s">
        <v>37</v>
      </c>
    </row>
    <row r="168" spans="1:26" x14ac:dyDescent="0.3">
      <c r="A168" t="s">
        <v>92</v>
      </c>
      <c r="B168" t="s">
        <v>40</v>
      </c>
      <c r="C168">
        <v>35</v>
      </c>
      <c r="D168">
        <v>20</v>
      </c>
      <c r="E168">
        <v>57.142857142857139</v>
      </c>
      <c r="F168" t="b">
        <v>1</v>
      </c>
      <c r="G168">
        <v>62</v>
      </c>
      <c r="H168">
        <v>71.599999999999994</v>
      </c>
      <c r="I168">
        <v>75.5</v>
      </c>
      <c r="J168">
        <v>85.1</v>
      </c>
      <c r="K168">
        <v>73.55</v>
      </c>
      <c r="L168" t="s">
        <v>49</v>
      </c>
      <c r="M168">
        <v>3</v>
      </c>
      <c r="N168" t="s">
        <v>50</v>
      </c>
      <c r="O168">
        <v>20</v>
      </c>
      <c r="P168">
        <v>11</v>
      </c>
      <c r="Q168">
        <v>58</v>
      </c>
      <c r="R168" t="s">
        <v>30</v>
      </c>
      <c r="S168">
        <v>3</v>
      </c>
      <c r="T168" t="s">
        <v>41</v>
      </c>
      <c r="U168" t="s">
        <v>36</v>
      </c>
      <c r="V168">
        <v>1</v>
      </c>
      <c r="W168">
        <v>0</v>
      </c>
      <c r="X168">
        <v>0</v>
      </c>
      <c r="Y168">
        <v>11</v>
      </c>
      <c r="Z168" t="s">
        <v>37</v>
      </c>
    </row>
    <row r="169" spans="1:26" x14ac:dyDescent="0.3">
      <c r="A169" t="s">
        <v>92</v>
      </c>
      <c r="B169" t="s">
        <v>42</v>
      </c>
      <c r="C169">
        <v>37</v>
      </c>
      <c r="D169">
        <v>20</v>
      </c>
      <c r="E169">
        <v>75.675675675675677</v>
      </c>
      <c r="F169" t="b">
        <v>1</v>
      </c>
      <c r="G169">
        <v>62.2</v>
      </c>
      <c r="H169">
        <v>58.8</v>
      </c>
      <c r="I169">
        <v>91.5</v>
      </c>
      <c r="J169">
        <v>81.2</v>
      </c>
      <c r="K169">
        <v>73.424999999999997</v>
      </c>
      <c r="L169" t="s">
        <v>49</v>
      </c>
      <c r="M169">
        <v>3</v>
      </c>
      <c r="N169" t="s">
        <v>50</v>
      </c>
      <c r="O169">
        <v>10</v>
      </c>
      <c r="P169">
        <v>7</v>
      </c>
      <c r="Q169">
        <v>45</v>
      </c>
      <c r="R169" t="s">
        <v>43</v>
      </c>
      <c r="S169">
        <v>3</v>
      </c>
      <c r="T169" t="s">
        <v>44</v>
      </c>
      <c r="U169" t="s">
        <v>36</v>
      </c>
      <c r="V169">
        <v>0</v>
      </c>
      <c r="W169">
        <v>0</v>
      </c>
      <c r="X169">
        <v>0</v>
      </c>
      <c r="Y169">
        <v>7</v>
      </c>
      <c r="Z169" t="s">
        <v>37</v>
      </c>
    </row>
    <row r="170" spans="1:26" x14ac:dyDescent="0.3">
      <c r="A170" t="s">
        <v>93</v>
      </c>
      <c r="B170" t="s">
        <v>51</v>
      </c>
      <c r="C170">
        <v>27</v>
      </c>
      <c r="D170">
        <v>28</v>
      </c>
      <c r="E170">
        <v>59.259259259259252</v>
      </c>
      <c r="F170" t="b">
        <v>1</v>
      </c>
      <c r="G170">
        <v>69.099999999999994</v>
      </c>
      <c r="H170">
        <v>82.2</v>
      </c>
      <c r="I170">
        <v>56</v>
      </c>
      <c r="J170">
        <v>67.2</v>
      </c>
      <c r="K170">
        <v>68.625</v>
      </c>
      <c r="L170" t="s">
        <v>61</v>
      </c>
      <c r="M170">
        <v>5</v>
      </c>
      <c r="N170" t="s">
        <v>55</v>
      </c>
      <c r="O170">
        <v>19</v>
      </c>
      <c r="P170">
        <v>10</v>
      </c>
      <c r="Q170">
        <v>57</v>
      </c>
      <c r="R170" t="s">
        <v>30</v>
      </c>
      <c r="S170">
        <v>3</v>
      </c>
      <c r="T170" t="s">
        <v>52</v>
      </c>
      <c r="U170" t="s">
        <v>36</v>
      </c>
      <c r="V170">
        <v>1</v>
      </c>
      <c r="W170">
        <v>0</v>
      </c>
      <c r="X170">
        <v>0</v>
      </c>
      <c r="Y170">
        <v>10</v>
      </c>
      <c r="Z170" t="s">
        <v>37</v>
      </c>
    </row>
    <row r="171" spans="1:26" x14ac:dyDescent="0.3">
      <c r="A171" t="s">
        <v>93</v>
      </c>
      <c r="B171" t="s">
        <v>34</v>
      </c>
      <c r="C171">
        <v>37</v>
      </c>
      <c r="D171">
        <v>16</v>
      </c>
      <c r="E171">
        <v>54.054054054054063</v>
      </c>
      <c r="F171" t="b">
        <v>1</v>
      </c>
      <c r="G171">
        <v>63.7</v>
      </c>
      <c r="H171">
        <v>72.400000000000006</v>
      </c>
      <c r="I171">
        <v>57.4</v>
      </c>
      <c r="J171">
        <v>91.3</v>
      </c>
      <c r="K171">
        <v>71.2</v>
      </c>
      <c r="L171" t="s">
        <v>61</v>
      </c>
      <c r="M171">
        <v>5</v>
      </c>
      <c r="N171" t="s">
        <v>55</v>
      </c>
      <c r="O171">
        <v>20</v>
      </c>
      <c r="P171">
        <v>10</v>
      </c>
      <c r="Q171">
        <v>67</v>
      </c>
      <c r="R171" t="s">
        <v>35</v>
      </c>
      <c r="S171">
        <v>2</v>
      </c>
      <c r="T171" t="s">
        <v>31</v>
      </c>
      <c r="U171" t="s">
        <v>36</v>
      </c>
      <c r="V171">
        <v>1</v>
      </c>
      <c r="W171">
        <v>0</v>
      </c>
      <c r="X171">
        <v>0</v>
      </c>
      <c r="Y171">
        <v>10</v>
      </c>
      <c r="Z171" t="s">
        <v>37</v>
      </c>
    </row>
    <row r="172" spans="1:26" x14ac:dyDescent="0.3">
      <c r="A172" t="s">
        <v>93</v>
      </c>
      <c r="B172" t="s">
        <v>40</v>
      </c>
      <c r="C172">
        <v>39</v>
      </c>
      <c r="D172">
        <v>20</v>
      </c>
      <c r="E172">
        <v>43.589743589743591</v>
      </c>
      <c r="F172" t="b">
        <v>1</v>
      </c>
      <c r="G172">
        <v>58.1</v>
      </c>
      <c r="H172">
        <v>62</v>
      </c>
      <c r="J172">
        <v>69.8</v>
      </c>
      <c r="K172">
        <v>63.29999999999999</v>
      </c>
      <c r="L172" t="s">
        <v>61</v>
      </c>
      <c r="M172">
        <v>5</v>
      </c>
      <c r="N172" t="s">
        <v>55</v>
      </c>
      <c r="O172">
        <v>10</v>
      </c>
      <c r="P172">
        <v>10</v>
      </c>
      <c r="Q172">
        <v>38</v>
      </c>
      <c r="R172" t="s">
        <v>30</v>
      </c>
      <c r="S172">
        <v>3</v>
      </c>
      <c r="T172" t="s">
        <v>41</v>
      </c>
      <c r="U172" t="s">
        <v>36</v>
      </c>
      <c r="V172">
        <v>1</v>
      </c>
      <c r="W172">
        <v>0</v>
      </c>
      <c r="X172">
        <v>1</v>
      </c>
      <c r="Y172">
        <v>10</v>
      </c>
      <c r="Z172" t="s">
        <v>37</v>
      </c>
    </row>
    <row r="173" spans="1:26" x14ac:dyDescent="0.3">
      <c r="A173" t="s">
        <v>93</v>
      </c>
      <c r="B173" t="s">
        <v>57</v>
      </c>
      <c r="C173">
        <v>26</v>
      </c>
      <c r="D173">
        <v>17</v>
      </c>
      <c r="E173">
        <v>69.230769230769226</v>
      </c>
      <c r="F173" t="b">
        <v>1</v>
      </c>
      <c r="G173">
        <v>74.400000000000006</v>
      </c>
      <c r="H173">
        <v>77.2</v>
      </c>
      <c r="I173">
        <v>100</v>
      </c>
      <c r="J173">
        <v>86.1</v>
      </c>
      <c r="K173">
        <v>84.425000000000011</v>
      </c>
      <c r="L173" t="s">
        <v>61</v>
      </c>
      <c r="M173">
        <v>5</v>
      </c>
      <c r="N173" t="s">
        <v>55</v>
      </c>
      <c r="O173">
        <v>15</v>
      </c>
      <c r="P173">
        <v>8</v>
      </c>
      <c r="Q173">
        <v>39</v>
      </c>
      <c r="R173" t="s">
        <v>30</v>
      </c>
      <c r="S173">
        <v>4</v>
      </c>
      <c r="T173" t="s">
        <v>58</v>
      </c>
      <c r="U173" t="s">
        <v>56</v>
      </c>
      <c r="V173">
        <v>1</v>
      </c>
      <c r="W173">
        <v>0</v>
      </c>
      <c r="X173">
        <v>0</v>
      </c>
      <c r="Y173">
        <v>8</v>
      </c>
      <c r="Z173" t="s">
        <v>37</v>
      </c>
    </row>
    <row r="174" spans="1:26" x14ac:dyDescent="0.3">
      <c r="A174" t="s">
        <v>94</v>
      </c>
      <c r="B174" t="s">
        <v>27</v>
      </c>
      <c r="C174">
        <v>29</v>
      </c>
      <c r="D174">
        <v>18</v>
      </c>
      <c r="E174">
        <v>58.620689655172413</v>
      </c>
      <c r="F174" t="b">
        <v>1</v>
      </c>
      <c r="G174">
        <v>71.5</v>
      </c>
      <c r="H174">
        <v>81.400000000000006</v>
      </c>
      <c r="I174">
        <v>83.5</v>
      </c>
      <c r="J174">
        <v>74.7</v>
      </c>
      <c r="K174">
        <v>77.775000000000006</v>
      </c>
      <c r="L174" t="s">
        <v>61</v>
      </c>
      <c r="M174">
        <v>4</v>
      </c>
      <c r="N174" t="s">
        <v>55</v>
      </c>
      <c r="O174">
        <v>15</v>
      </c>
      <c r="P174">
        <v>10</v>
      </c>
      <c r="Q174">
        <v>52</v>
      </c>
      <c r="R174" t="s">
        <v>30</v>
      </c>
      <c r="S174">
        <v>4</v>
      </c>
      <c r="T174" t="s">
        <v>31</v>
      </c>
      <c r="U174" t="s">
        <v>56</v>
      </c>
      <c r="V174">
        <v>1</v>
      </c>
      <c r="W174">
        <v>0</v>
      </c>
      <c r="X174">
        <v>0</v>
      </c>
      <c r="Y174">
        <v>10</v>
      </c>
      <c r="Z174" t="s">
        <v>37</v>
      </c>
    </row>
    <row r="175" spans="1:26" x14ac:dyDescent="0.3">
      <c r="A175" t="s">
        <v>94</v>
      </c>
      <c r="B175" t="s">
        <v>38</v>
      </c>
      <c r="C175">
        <v>36</v>
      </c>
      <c r="D175">
        <v>17</v>
      </c>
      <c r="E175">
        <v>75</v>
      </c>
      <c r="F175" t="b">
        <v>1</v>
      </c>
      <c r="G175">
        <v>91.7</v>
      </c>
      <c r="H175">
        <v>98.9</v>
      </c>
      <c r="I175">
        <v>62</v>
      </c>
      <c r="J175">
        <v>83.3</v>
      </c>
      <c r="K175">
        <v>83.975000000000009</v>
      </c>
      <c r="L175" t="s">
        <v>61</v>
      </c>
      <c r="M175">
        <v>4</v>
      </c>
      <c r="N175" t="s">
        <v>55</v>
      </c>
      <c r="O175">
        <v>19</v>
      </c>
      <c r="P175">
        <v>9</v>
      </c>
      <c r="Q175">
        <v>48</v>
      </c>
      <c r="R175" t="s">
        <v>30</v>
      </c>
      <c r="S175">
        <v>3</v>
      </c>
      <c r="T175" t="s">
        <v>39</v>
      </c>
      <c r="U175" t="s">
        <v>56</v>
      </c>
      <c r="V175">
        <v>0</v>
      </c>
      <c r="W175">
        <v>0</v>
      </c>
      <c r="X175">
        <v>0</v>
      </c>
      <c r="Y175">
        <v>9</v>
      </c>
      <c r="Z175" t="s">
        <v>37</v>
      </c>
    </row>
    <row r="176" spans="1:26" x14ac:dyDescent="0.3">
      <c r="A176" t="s">
        <v>94</v>
      </c>
      <c r="B176" t="s">
        <v>40</v>
      </c>
      <c r="C176">
        <v>31</v>
      </c>
      <c r="D176">
        <v>27</v>
      </c>
      <c r="E176">
        <v>54.838709677419352</v>
      </c>
      <c r="F176" t="b">
        <v>1</v>
      </c>
      <c r="G176">
        <v>66.7</v>
      </c>
      <c r="H176">
        <v>73</v>
      </c>
      <c r="I176">
        <v>38.299999999999997</v>
      </c>
      <c r="J176">
        <v>71.599999999999994</v>
      </c>
      <c r="K176">
        <v>62.4</v>
      </c>
      <c r="L176" t="s">
        <v>61</v>
      </c>
      <c r="M176">
        <v>4</v>
      </c>
      <c r="N176" t="s">
        <v>55</v>
      </c>
      <c r="O176">
        <v>17</v>
      </c>
      <c r="P176">
        <v>9</v>
      </c>
      <c r="Q176">
        <v>43</v>
      </c>
      <c r="R176" t="s">
        <v>30</v>
      </c>
      <c r="S176">
        <v>3</v>
      </c>
      <c r="T176" t="s">
        <v>41</v>
      </c>
      <c r="U176" t="s">
        <v>36</v>
      </c>
      <c r="V176">
        <v>1</v>
      </c>
      <c r="W176">
        <v>0</v>
      </c>
      <c r="X176">
        <v>0</v>
      </c>
      <c r="Y176">
        <v>9</v>
      </c>
      <c r="Z176" t="s">
        <v>37</v>
      </c>
    </row>
    <row r="177" spans="1:26" x14ac:dyDescent="0.3">
      <c r="A177" t="s">
        <v>94</v>
      </c>
      <c r="B177" t="s">
        <v>45</v>
      </c>
      <c r="C177">
        <v>29</v>
      </c>
      <c r="D177">
        <v>17</v>
      </c>
      <c r="E177">
        <v>68.965517241379317</v>
      </c>
      <c r="F177" t="b">
        <v>1</v>
      </c>
      <c r="G177">
        <v>49.9</v>
      </c>
      <c r="H177">
        <v>49.5</v>
      </c>
      <c r="I177">
        <v>60.2</v>
      </c>
      <c r="J177">
        <v>67.8</v>
      </c>
      <c r="K177">
        <v>56.850000000000009</v>
      </c>
      <c r="L177" t="s">
        <v>61</v>
      </c>
      <c r="M177">
        <v>4</v>
      </c>
      <c r="N177" t="s">
        <v>55</v>
      </c>
      <c r="O177">
        <v>16</v>
      </c>
      <c r="P177">
        <v>13</v>
      </c>
      <c r="Q177">
        <v>54</v>
      </c>
      <c r="R177" t="s">
        <v>46</v>
      </c>
      <c r="S177">
        <v>4</v>
      </c>
      <c r="T177" t="s">
        <v>47</v>
      </c>
      <c r="U177" t="s">
        <v>32</v>
      </c>
      <c r="V177">
        <v>1</v>
      </c>
      <c r="W177">
        <v>0</v>
      </c>
      <c r="X177">
        <v>0</v>
      </c>
      <c r="Y177">
        <v>13</v>
      </c>
      <c r="Z177" t="s">
        <v>33</v>
      </c>
    </row>
    <row r="178" spans="1:26" x14ac:dyDescent="0.3">
      <c r="A178" t="s">
        <v>95</v>
      </c>
      <c r="B178" t="s">
        <v>34</v>
      </c>
      <c r="C178">
        <v>28</v>
      </c>
      <c r="D178">
        <v>20</v>
      </c>
      <c r="E178">
        <v>67.857142857142861</v>
      </c>
      <c r="F178" t="b">
        <v>1</v>
      </c>
      <c r="G178">
        <v>43.8</v>
      </c>
      <c r="H178">
        <v>47.2</v>
      </c>
      <c r="I178">
        <v>53</v>
      </c>
      <c r="J178">
        <v>51.7</v>
      </c>
      <c r="K178">
        <v>48.924999999999997</v>
      </c>
      <c r="L178" t="s">
        <v>49</v>
      </c>
      <c r="M178">
        <v>5</v>
      </c>
      <c r="N178" t="s">
        <v>50</v>
      </c>
      <c r="O178">
        <v>5</v>
      </c>
      <c r="P178">
        <v>6</v>
      </c>
      <c r="Q178">
        <v>30</v>
      </c>
      <c r="R178" t="s">
        <v>35</v>
      </c>
      <c r="S178">
        <v>2</v>
      </c>
      <c r="T178" t="s">
        <v>31</v>
      </c>
      <c r="U178" t="s">
        <v>32</v>
      </c>
      <c r="V178">
        <v>1</v>
      </c>
      <c r="W178">
        <v>0</v>
      </c>
      <c r="X178">
        <v>0</v>
      </c>
      <c r="Y178">
        <v>6</v>
      </c>
      <c r="Z178" t="s">
        <v>33</v>
      </c>
    </row>
    <row r="179" spans="1:26" x14ac:dyDescent="0.3">
      <c r="A179" t="s">
        <v>95</v>
      </c>
      <c r="B179" t="s">
        <v>38</v>
      </c>
      <c r="C179">
        <v>29</v>
      </c>
      <c r="D179">
        <v>19</v>
      </c>
      <c r="E179">
        <v>41.379310344827587</v>
      </c>
      <c r="F179" t="b">
        <v>1</v>
      </c>
      <c r="G179">
        <v>44.4</v>
      </c>
      <c r="H179">
        <v>41.5</v>
      </c>
      <c r="I179">
        <v>39.200000000000003</v>
      </c>
      <c r="J179">
        <v>63.6</v>
      </c>
      <c r="K179">
        <v>47.174999999999997</v>
      </c>
      <c r="L179" t="s">
        <v>49</v>
      </c>
      <c r="M179">
        <v>5</v>
      </c>
      <c r="N179" t="s">
        <v>50</v>
      </c>
      <c r="O179">
        <v>11</v>
      </c>
      <c r="P179">
        <v>5</v>
      </c>
      <c r="Q179">
        <v>48</v>
      </c>
      <c r="R179" t="s">
        <v>30</v>
      </c>
      <c r="S179">
        <v>3</v>
      </c>
      <c r="T179" t="s">
        <v>39</v>
      </c>
      <c r="U179" t="s">
        <v>32</v>
      </c>
      <c r="V179">
        <v>1</v>
      </c>
      <c r="W179">
        <v>0</v>
      </c>
      <c r="X179">
        <v>0</v>
      </c>
      <c r="Y179">
        <v>5</v>
      </c>
      <c r="Z179" t="s">
        <v>33</v>
      </c>
    </row>
    <row r="180" spans="1:26" x14ac:dyDescent="0.3">
      <c r="A180" t="s">
        <v>95</v>
      </c>
      <c r="B180" t="s">
        <v>40</v>
      </c>
      <c r="C180">
        <v>27</v>
      </c>
      <c r="D180">
        <v>12</v>
      </c>
      <c r="E180">
        <v>62.962962962962962</v>
      </c>
      <c r="F180" t="b">
        <v>1</v>
      </c>
      <c r="G180">
        <v>23.6</v>
      </c>
      <c r="H180">
        <v>40.1</v>
      </c>
      <c r="I180">
        <v>39.799999999999997</v>
      </c>
      <c r="J180">
        <v>60.1</v>
      </c>
      <c r="K180">
        <v>40.9</v>
      </c>
      <c r="L180" t="s">
        <v>49</v>
      </c>
      <c r="M180">
        <v>5</v>
      </c>
      <c r="N180" t="s">
        <v>50</v>
      </c>
      <c r="O180">
        <v>11</v>
      </c>
      <c r="P180">
        <v>8</v>
      </c>
      <c r="Q180">
        <v>46</v>
      </c>
      <c r="R180" t="s">
        <v>30</v>
      </c>
      <c r="S180">
        <v>3</v>
      </c>
      <c r="T180" t="s">
        <v>41</v>
      </c>
      <c r="U180" t="s">
        <v>32</v>
      </c>
      <c r="V180">
        <v>1</v>
      </c>
      <c r="W180">
        <v>0</v>
      </c>
      <c r="X180">
        <v>0</v>
      </c>
      <c r="Y180">
        <v>8</v>
      </c>
      <c r="Z180" t="s">
        <v>33</v>
      </c>
    </row>
    <row r="181" spans="1:26" x14ac:dyDescent="0.3">
      <c r="A181" t="s">
        <v>95</v>
      </c>
      <c r="B181" t="s">
        <v>57</v>
      </c>
      <c r="C181">
        <v>38</v>
      </c>
      <c r="D181">
        <v>17</v>
      </c>
      <c r="E181">
        <v>57.894736842105267</v>
      </c>
      <c r="F181" t="b">
        <v>1</v>
      </c>
      <c r="G181">
        <v>53.4</v>
      </c>
      <c r="H181">
        <v>73.3</v>
      </c>
      <c r="I181">
        <v>48.3</v>
      </c>
      <c r="K181">
        <v>58.333333333333343</v>
      </c>
      <c r="L181" t="s">
        <v>49</v>
      </c>
      <c r="M181">
        <v>5</v>
      </c>
      <c r="N181" t="s">
        <v>50</v>
      </c>
      <c r="O181">
        <v>11</v>
      </c>
      <c r="P181">
        <v>5</v>
      </c>
      <c r="Q181">
        <v>54</v>
      </c>
      <c r="R181" t="s">
        <v>30</v>
      </c>
      <c r="S181">
        <v>4</v>
      </c>
      <c r="T181" t="s">
        <v>58</v>
      </c>
      <c r="U181" t="s">
        <v>32</v>
      </c>
      <c r="V181">
        <v>1</v>
      </c>
      <c r="W181">
        <v>0</v>
      </c>
      <c r="X181">
        <v>1</v>
      </c>
      <c r="Y181">
        <v>5</v>
      </c>
      <c r="Z181" t="s">
        <v>33</v>
      </c>
    </row>
    <row r="182" spans="1:26" x14ac:dyDescent="0.3">
      <c r="A182" t="s">
        <v>95</v>
      </c>
      <c r="B182" t="s">
        <v>45</v>
      </c>
      <c r="C182">
        <v>32</v>
      </c>
      <c r="D182">
        <v>22</v>
      </c>
      <c r="E182">
        <v>53.125</v>
      </c>
      <c r="F182" t="b">
        <v>1</v>
      </c>
      <c r="G182">
        <v>57.5</v>
      </c>
      <c r="I182">
        <v>43.1</v>
      </c>
      <c r="J182">
        <v>38.5</v>
      </c>
      <c r="K182">
        <v>46.366666666666667</v>
      </c>
      <c r="L182" t="s">
        <v>49</v>
      </c>
      <c r="M182">
        <v>5</v>
      </c>
      <c r="N182" t="s">
        <v>50</v>
      </c>
      <c r="O182">
        <v>13</v>
      </c>
      <c r="P182">
        <v>9</v>
      </c>
      <c r="Q182">
        <v>34</v>
      </c>
      <c r="R182" t="s">
        <v>46</v>
      </c>
      <c r="S182">
        <v>4</v>
      </c>
      <c r="T182" t="s">
        <v>47</v>
      </c>
      <c r="U182" t="s">
        <v>32</v>
      </c>
      <c r="V182">
        <v>1</v>
      </c>
      <c r="W182">
        <v>0</v>
      </c>
      <c r="X182">
        <v>1</v>
      </c>
      <c r="Y182">
        <v>9</v>
      </c>
      <c r="Z182" t="s">
        <v>33</v>
      </c>
    </row>
    <row r="183" spans="1:26" x14ac:dyDescent="0.3">
      <c r="A183" t="s">
        <v>96</v>
      </c>
      <c r="B183" t="s">
        <v>27</v>
      </c>
      <c r="C183">
        <v>38</v>
      </c>
      <c r="D183">
        <v>17</v>
      </c>
      <c r="E183">
        <v>94.736842105263165</v>
      </c>
      <c r="F183" t="b">
        <v>1</v>
      </c>
      <c r="G183">
        <v>76.900000000000006</v>
      </c>
      <c r="H183">
        <v>89.4</v>
      </c>
      <c r="I183">
        <v>85.8</v>
      </c>
      <c r="J183">
        <v>79</v>
      </c>
      <c r="K183">
        <v>82.775000000000006</v>
      </c>
      <c r="L183" t="s">
        <v>61</v>
      </c>
      <c r="M183">
        <v>5</v>
      </c>
      <c r="N183" t="s">
        <v>29</v>
      </c>
      <c r="O183">
        <v>9</v>
      </c>
      <c r="P183">
        <v>10</v>
      </c>
      <c r="Q183">
        <v>16</v>
      </c>
      <c r="R183" t="s">
        <v>30</v>
      </c>
      <c r="S183">
        <v>4</v>
      </c>
      <c r="T183" t="s">
        <v>31</v>
      </c>
      <c r="U183" t="s">
        <v>56</v>
      </c>
      <c r="V183">
        <v>0</v>
      </c>
      <c r="W183">
        <v>0</v>
      </c>
      <c r="X183">
        <v>0</v>
      </c>
      <c r="Y183">
        <v>10</v>
      </c>
      <c r="Z183" t="s">
        <v>37</v>
      </c>
    </row>
    <row r="184" spans="1:26" x14ac:dyDescent="0.3">
      <c r="A184" t="s">
        <v>96</v>
      </c>
      <c r="B184" t="s">
        <v>51</v>
      </c>
      <c r="C184">
        <v>31</v>
      </c>
      <c r="D184">
        <v>36</v>
      </c>
      <c r="E184">
        <v>87.096774193548384</v>
      </c>
      <c r="F184" t="b">
        <v>1</v>
      </c>
      <c r="G184">
        <v>86.1</v>
      </c>
      <c r="H184">
        <v>70</v>
      </c>
      <c r="I184">
        <v>50.3</v>
      </c>
      <c r="J184">
        <v>83.4</v>
      </c>
      <c r="K184">
        <v>72.449999999999989</v>
      </c>
      <c r="L184" t="s">
        <v>61</v>
      </c>
      <c r="M184">
        <v>5</v>
      </c>
      <c r="N184" t="s">
        <v>29</v>
      </c>
      <c r="O184">
        <v>20</v>
      </c>
      <c r="P184">
        <v>8</v>
      </c>
      <c r="Q184">
        <v>57</v>
      </c>
      <c r="R184" t="s">
        <v>30</v>
      </c>
      <c r="S184">
        <v>3</v>
      </c>
      <c r="T184" t="s">
        <v>52</v>
      </c>
      <c r="U184" t="s">
        <v>36</v>
      </c>
      <c r="V184">
        <v>0</v>
      </c>
      <c r="W184">
        <v>0</v>
      </c>
      <c r="X184">
        <v>0</v>
      </c>
      <c r="Y184">
        <v>8</v>
      </c>
      <c r="Z184" t="s">
        <v>37</v>
      </c>
    </row>
    <row r="185" spans="1:26" x14ac:dyDescent="0.3">
      <c r="A185" t="s">
        <v>96</v>
      </c>
      <c r="B185" t="s">
        <v>40</v>
      </c>
      <c r="C185">
        <v>32</v>
      </c>
      <c r="D185">
        <v>27</v>
      </c>
      <c r="E185">
        <v>46.875</v>
      </c>
      <c r="F185" t="b">
        <v>1</v>
      </c>
      <c r="G185">
        <v>89.1</v>
      </c>
      <c r="H185">
        <v>92.5</v>
      </c>
      <c r="I185">
        <v>67.5</v>
      </c>
      <c r="J185">
        <v>92.9</v>
      </c>
      <c r="K185">
        <v>85.5</v>
      </c>
      <c r="L185" t="s">
        <v>61</v>
      </c>
      <c r="M185">
        <v>5</v>
      </c>
      <c r="N185" t="s">
        <v>29</v>
      </c>
      <c r="O185">
        <v>21</v>
      </c>
      <c r="P185">
        <v>14</v>
      </c>
      <c r="Q185">
        <v>51</v>
      </c>
      <c r="R185" t="s">
        <v>30</v>
      </c>
      <c r="S185">
        <v>3</v>
      </c>
      <c r="T185" t="s">
        <v>41</v>
      </c>
      <c r="U185" t="s">
        <v>56</v>
      </c>
      <c r="V185">
        <v>1</v>
      </c>
      <c r="W185">
        <v>0</v>
      </c>
      <c r="X185">
        <v>0</v>
      </c>
      <c r="Y185">
        <v>14</v>
      </c>
      <c r="Z185" t="s">
        <v>37</v>
      </c>
    </row>
    <row r="186" spans="1:26" x14ac:dyDescent="0.3">
      <c r="A186" t="s">
        <v>96</v>
      </c>
      <c r="B186" t="s">
        <v>57</v>
      </c>
      <c r="C186">
        <v>25</v>
      </c>
      <c r="D186">
        <v>15</v>
      </c>
      <c r="E186">
        <v>64</v>
      </c>
      <c r="F186" t="b">
        <v>1</v>
      </c>
      <c r="G186">
        <v>60.1</v>
      </c>
      <c r="H186">
        <v>48.1</v>
      </c>
      <c r="I186">
        <v>62.7</v>
      </c>
      <c r="J186">
        <v>81.099999999999994</v>
      </c>
      <c r="K186">
        <v>63</v>
      </c>
      <c r="L186" t="s">
        <v>61</v>
      </c>
      <c r="M186">
        <v>5</v>
      </c>
      <c r="N186" t="s">
        <v>29</v>
      </c>
      <c r="P186">
        <v>13</v>
      </c>
      <c r="R186" t="s">
        <v>30</v>
      </c>
      <c r="S186">
        <v>4</v>
      </c>
      <c r="T186" t="s">
        <v>58</v>
      </c>
      <c r="U186" t="s">
        <v>36</v>
      </c>
      <c r="V186">
        <v>1</v>
      </c>
      <c r="W186">
        <v>1</v>
      </c>
      <c r="X186">
        <v>0</v>
      </c>
      <c r="Y186">
        <v>13</v>
      </c>
      <c r="Z186" t="s">
        <v>37</v>
      </c>
    </row>
    <row r="187" spans="1:26" x14ac:dyDescent="0.3">
      <c r="A187" t="s">
        <v>96</v>
      </c>
      <c r="B187" t="s">
        <v>42</v>
      </c>
      <c r="C187">
        <v>25</v>
      </c>
      <c r="D187">
        <v>16</v>
      </c>
      <c r="E187">
        <v>84</v>
      </c>
      <c r="F187" t="b">
        <v>1</v>
      </c>
      <c r="G187">
        <v>84.4</v>
      </c>
      <c r="H187">
        <v>82.3</v>
      </c>
      <c r="I187">
        <v>91.7</v>
      </c>
      <c r="J187">
        <v>82</v>
      </c>
      <c r="K187">
        <v>85.1</v>
      </c>
      <c r="L187" t="s">
        <v>61</v>
      </c>
      <c r="M187">
        <v>5</v>
      </c>
      <c r="N187" t="s">
        <v>29</v>
      </c>
      <c r="O187">
        <v>22</v>
      </c>
      <c r="P187">
        <v>10</v>
      </c>
      <c r="Q187">
        <v>57</v>
      </c>
      <c r="R187" t="s">
        <v>43</v>
      </c>
      <c r="S187">
        <v>3</v>
      </c>
      <c r="T187" t="s">
        <v>44</v>
      </c>
      <c r="U187" t="s">
        <v>56</v>
      </c>
      <c r="V187">
        <v>0</v>
      </c>
      <c r="W187">
        <v>0</v>
      </c>
      <c r="X187">
        <v>0</v>
      </c>
      <c r="Y187">
        <v>10</v>
      </c>
      <c r="Z187" t="s">
        <v>37</v>
      </c>
    </row>
    <row r="188" spans="1:26" x14ac:dyDescent="0.3">
      <c r="A188" t="s">
        <v>96</v>
      </c>
      <c r="B188" t="s">
        <v>45</v>
      </c>
      <c r="C188">
        <v>31</v>
      </c>
      <c r="D188">
        <v>21</v>
      </c>
      <c r="E188">
        <v>83.870967741935488</v>
      </c>
      <c r="F188" t="b">
        <v>1</v>
      </c>
      <c r="G188">
        <v>86.5</v>
      </c>
      <c r="H188">
        <v>81</v>
      </c>
      <c r="I188">
        <v>77.7</v>
      </c>
      <c r="J188">
        <v>83.5</v>
      </c>
      <c r="K188">
        <v>82.174999999999997</v>
      </c>
      <c r="L188" t="s">
        <v>61</v>
      </c>
      <c r="M188">
        <v>5</v>
      </c>
      <c r="N188" t="s">
        <v>29</v>
      </c>
      <c r="O188">
        <v>23</v>
      </c>
      <c r="P188">
        <v>14</v>
      </c>
      <c r="Q188">
        <v>70</v>
      </c>
      <c r="R188" t="s">
        <v>46</v>
      </c>
      <c r="S188">
        <v>4</v>
      </c>
      <c r="T188" t="s">
        <v>47</v>
      </c>
      <c r="U188" t="s">
        <v>56</v>
      </c>
      <c r="V188">
        <v>0</v>
      </c>
      <c r="W188">
        <v>0</v>
      </c>
      <c r="X188">
        <v>0</v>
      </c>
      <c r="Y188">
        <v>14</v>
      </c>
      <c r="Z188" t="s">
        <v>37</v>
      </c>
    </row>
    <row r="189" spans="1:26" x14ac:dyDescent="0.3">
      <c r="A189" t="s">
        <v>97</v>
      </c>
      <c r="B189" t="s">
        <v>27</v>
      </c>
      <c r="C189">
        <v>35</v>
      </c>
      <c r="D189">
        <v>26</v>
      </c>
      <c r="E189">
        <v>60</v>
      </c>
      <c r="F189" t="b">
        <v>1</v>
      </c>
      <c r="G189">
        <v>90.4</v>
      </c>
      <c r="H189">
        <v>100</v>
      </c>
      <c r="I189">
        <v>84.8</v>
      </c>
      <c r="J189">
        <v>76.900000000000006</v>
      </c>
      <c r="K189">
        <v>88.025000000000006</v>
      </c>
      <c r="L189" t="s">
        <v>28</v>
      </c>
      <c r="M189">
        <v>5</v>
      </c>
      <c r="N189" t="s">
        <v>29</v>
      </c>
      <c r="O189">
        <v>22</v>
      </c>
      <c r="P189">
        <v>9</v>
      </c>
      <c r="Q189">
        <v>60</v>
      </c>
      <c r="R189" t="s">
        <v>30</v>
      </c>
      <c r="S189">
        <v>4</v>
      </c>
      <c r="T189" t="s">
        <v>31</v>
      </c>
      <c r="U189" t="s">
        <v>56</v>
      </c>
      <c r="V189">
        <v>1</v>
      </c>
      <c r="W189">
        <v>0</v>
      </c>
      <c r="X189">
        <v>0</v>
      </c>
      <c r="Y189">
        <v>9</v>
      </c>
      <c r="Z189" t="s">
        <v>37</v>
      </c>
    </row>
    <row r="190" spans="1:26" x14ac:dyDescent="0.3">
      <c r="A190" t="s">
        <v>97</v>
      </c>
      <c r="B190" t="s">
        <v>34</v>
      </c>
      <c r="C190">
        <v>33</v>
      </c>
      <c r="D190">
        <v>21</v>
      </c>
      <c r="E190">
        <v>60.606060606060609</v>
      </c>
      <c r="F190" t="b">
        <v>1</v>
      </c>
      <c r="G190">
        <v>97</v>
      </c>
      <c r="H190">
        <v>100</v>
      </c>
      <c r="I190">
        <v>100</v>
      </c>
      <c r="J190">
        <v>100</v>
      </c>
      <c r="K190">
        <v>99.25</v>
      </c>
      <c r="L190" t="s">
        <v>28</v>
      </c>
      <c r="M190">
        <v>5</v>
      </c>
      <c r="N190" t="s">
        <v>29</v>
      </c>
      <c r="O190">
        <v>17</v>
      </c>
      <c r="P190">
        <v>9</v>
      </c>
      <c r="Q190">
        <v>58</v>
      </c>
      <c r="R190" t="s">
        <v>35</v>
      </c>
      <c r="S190">
        <v>2</v>
      </c>
      <c r="T190" t="s">
        <v>31</v>
      </c>
      <c r="U190" t="s">
        <v>56</v>
      </c>
      <c r="V190">
        <v>1</v>
      </c>
      <c r="W190">
        <v>0</v>
      </c>
      <c r="X190">
        <v>0</v>
      </c>
      <c r="Y190">
        <v>9</v>
      </c>
      <c r="Z190" t="s">
        <v>37</v>
      </c>
    </row>
    <row r="191" spans="1:26" x14ac:dyDescent="0.3">
      <c r="A191" t="s">
        <v>97</v>
      </c>
      <c r="B191" t="s">
        <v>40</v>
      </c>
      <c r="C191">
        <v>29</v>
      </c>
      <c r="D191">
        <v>20</v>
      </c>
      <c r="E191">
        <v>48.275862068965523</v>
      </c>
      <c r="F191" t="b">
        <v>1</v>
      </c>
      <c r="G191">
        <v>100</v>
      </c>
      <c r="H191">
        <v>87.4</v>
      </c>
      <c r="I191">
        <v>87.6</v>
      </c>
      <c r="J191">
        <v>92.8</v>
      </c>
      <c r="K191">
        <v>91.95</v>
      </c>
      <c r="L191" t="s">
        <v>28</v>
      </c>
      <c r="M191">
        <v>5</v>
      </c>
      <c r="N191" t="s">
        <v>29</v>
      </c>
      <c r="O191">
        <v>26</v>
      </c>
      <c r="P191">
        <v>12</v>
      </c>
      <c r="Q191">
        <v>73</v>
      </c>
      <c r="R191" t="s">
        <v>30</v>
      </c>
      <c r="S191">
        <v>3</v>
      </c>
      <c r="T191" t="s">
        <v>41</v>
      </c>
      <c r="U191" t="s">
        <v>56</v>
      </c>
      <c r="V191">
        <v>1</v>
      </c>
      <c r="W191">
        <v>0</v>
      </c>
      <c r="X191">
        <v>0</v>
      </c>
      <c r="Y191">
        <v>12</v>
      </c>
      <c r="Z191" t="s">
        <v>37</v>
      </c>
    </row>
    <row r="192" spans="1:26" x14ac:dyDescent="0.3">
      <c r="A192" t="s">
        <v>97</v>
      </c>
      <c r="B192" t="s">
        <v>57</v>
      </c>
      <c r="C192">
        <v>36</v>
      </c>
      <c r="D192">
        <v>14</v>
      </c>
      <c r="E192">
        <v>83.333333333333343</v>
      </c>
      <c r="F192" t="b">
        <v>1</v>
      </c>
      <c r="G192">
        <v>95.2</v>
      </c>
      <c r="H192">
        <v>86</v>
      </c>
      <c r="I192">
        <v>60.2</v>
      </c>
      <c r="J192">
        <v>100</v>
      </c>
      <c r="K192">
        <v>85.35</v>
      </c>
      <c r="L192" t="s">
        <v>28</v>
      </c>
      <c r="M192">
        <v>5</v>
      </c>
      <c r="N192" t="s">
        <v>29</v>
      </c>
      <c r="O192">
        <v>23</v>
      </c>
      <c r="P192">
        <v>13</v>
      </c>
      <c r="Q192">
        <v>76</v>
      </c>
      <c r="R192" t="s">
        <v>30</v>
      </c>
      <c r="S192">
        <v>4</v>
      </c>
      <c r="T192" t="s">
        <v>58</v>
      </c>
      <c r="U192" t="s">
        <v>56</v>
      </c>
      <c r="V192">
        <v>0</v>
      </c>
      <c r="W192">
        <v>0</v>
      </c>
      <c r="X192">
        <v>0</v>
      </c>
      <c r="Y192">
        <v>13</v>
      </c>
      <c r="Z192" t="s">
        <v>37</v>
      </c>
    </row>
    <row r="193" spans="1:26" x14ac:dyDescent="0.3">
      <c r="A193" t="s">
        <v>98</v>
      </c>
      <c r="B193" t="s">
        <v>34</v>
      </c>
      <c r="C193">
        <v>28</v>
      </c>
      <c r="D193">
        <v>30</v>
      </c>
      <c r="E193">
        <v>50</v>
      </c>
      <c r="F193" t="b">
        <v>1</v>
      </c>
      <c r="G193">
        <v>59.1</v>
      </c>
      <c r="H193">
        <v>57.1</v>
      </c>
      <c r="I193">
        <v>20.399999999999999</v>
      </c>
      <c r="J193">
        <v>57.8</v>
      </c>
      <c r="K193">
        <v>48.6</v>
      </c>
      <c r="L193" t="s">
        <v>49</v>
      </c>
      <c r="M193">
        <v>3</v>
      </c>
      <c r="N193" t="s">
        <v>55</v>
      </c>
      <c r="O193">
        <v>12</v>
      </c>
      <c r="P193">
        <v>12</v>
      </c>
      <c r="Q193">
        <v>26</v>
      </c>
      <c r="R193" t="s">
        <v>35</v>
      </c>
      <c r="S193">
        <v>2</v>
      </c>
      <c r="T193" t="s">
        <v>31</v>
      </c>
      <c r="U193" t="s">
        <v>32</v>
      </c>
      <c r="V193">
        <v>1</v>
      </c>
      <c r="W193">
        <v>0</v>
      </c>
      <c r="X193">
        <v>0</v>
      </c>
      <c r="Y193">
        <v>12</v>
      </c>
      <c r="Z193" t="s">
        <v>33</v>
      </c>
    </row>
    <row r="194" spans="1:26" x14ac:dyDescent="0.3">
      <c r="A194" t="s">
        <v>98</v>
      </c>
      <c r="B194" t="s">
        <v>40</v>
      </c>
      <c r="C194">
        <v>39</v>
      </c>
      <c r="D194">
        <v>14</v>
      </c>
      <c r="E194">
        <v>53.846153846153847</v>
      </c>
      <c r="F194" t="b">
        <v>1</v>
      </c>
      <c r="G194">
        <v>63.9</v>
      </c>
      <c r="H194">
        <v>72.099999999999994</v>
      </c>
      <c r="I194">
        <v>53.2</v>
      </c>
      <c r="J194">
        <v>45.2</v>
      </c>
      <c r="K194">
        <v>58.6</v>
      </c>
      <c r="L194" t="s">
        <v>49</v>
      </c>
      <c r="M194">
        <v>3</v>
      </c>
      <c r="N194" t="s">
        <v>55</v>
      </c>
      <c r="O194">
        <v>20</v>
      </c>
      <c r="P194">
        <v>5</v>
      </c>
      <c r="Q194">
        <v>59</v>
      </c>
      <c r="R194" t="s">
        <v>30</v>
      </c>
      <c r="S194">
        <v>3</v>
      </c>
      <c r="T194" t="s">
        <v>41</v>
      </c>
      <c r="U194" t="s">
        <v>32</v>
      </c>
      <c r="V194">
        <v>1</v>
      </c>
      <c r="W194">
        <v>0</v>
      </c>
      <c r="X194">
        <v>0</v>
      </c>
      <c r="Y194">
        <v>5</v>
      </c>
      <c r="Z194" t="s">
        <v>33</v>
      </c>
    </row>
    <row r="195" spans="1:26" x14ac:dyDescent="0.3">
      <c r="A195" t="s">
        <v>98</v>
      </c>
      <c r="B195" t="s">
        <v>42</v>
      </c>
      <c r="C195">
        <v>37</v>
      </c>
      <c r="D195">
        <v>21</v>
      </c>
      <c r="E195">
        <v>43.243243243243242</v>
      </c>
      <c r="F195" t="b">
        <v>1</v>
      </c>
      <c r="G195">
        <v>85.7</v>
      </c>
      <c r="H195">
        <v>67</v>
      </c>
      <c r="I195">
        <v>58.6</v>
      </c>
      <c r="J195">
        <v>82</v>
      </c>
      <c r="K195">
        <v>73.324999999999989</v>
      </c>
      <c r="L195" t="s">
        <v>49</v>
      </c>
      <c r="M195">
        <v>3</v>
      </c>
      <c r="N195" t="s">
        <v>55</v>
      </c>
      <c r="O195">
        <v>4</v>
      </c>
      <c r="P195">
        <v>5</v>
      </c>
      <c r="Q195">
        <v>25</v>
      </c>
      <c r="R195" t="s">
        <v>43</v>
      </c>
      <c r="S195">
        <v>3</v>
      </c>
      <c r="T195" t="s">
        <v>44</v>
      </c>
      <c r="U195" t="s">
        <v>36</v>
      </c>
      <c r="V195">
        <v>1</v>
      </c>
      <c r="W195">
        <v>1</v>
      </c>
      <c r="X195">
        <v>0</v>
      </c>
      <c r="Y195">
        <v>5</v>
      </c>
      <c r="Z195" t="s">
        <v>37</v>
      </c>
    </row>
    <row r="196" spans="1:26" x14ac:dyDescent="0.3">
      <c r="A196" t="s">
        <v>98</v>
      </c>
      <c r="B196" t="s">
        <v>45</v>
      </c>
      <c r="C196">
        <v>35</v>
      </c>
      <c r="D196">
        <v>16</v>
      </c>
      <c r="E196">
        <v>51.428571428571423</v>
      </c>
      <c r="F196" t="b">
        <v>1</v>
      </c>
      <c r="G196">
        <v>52.8</v>
      </c>
      <c r="H196">
        <v>61.2</v>
      </c>
      <c r="I196">
        <v>47.1</v>
      </c>
      <c r="J196">
        <v>70.400000000000006</v>
      </c>
      <c r="K196">
        <v>57.875</v>
      </c>
      <c r="L196" t="s">
        <v>49</v>
      </c>
      <c r="M196">
        <v>3</v>
      </c>
      <c r="N196" t="s">
        <v>55</v>
      </c>
      <c r="O196">
        <v>14</v>
      </c>
      <c r="P196">
        <v>11</v>
      </c>
      <c r="Q196">
        <v>48</v>
      </c>
      <c r="R196" t="s">
        <v>46</v>
      </c>
      <c r="S196">
        <v>4</v>
      </c>
      <c r="T196" t="s">
        <v>47</v>
      </c>
      <c r="U196" t="s">
        <v>32</v>
      </c>
      <c r="V196">
        <v>1</v>
      </c>
      <c r="W196">
        <v>0</v>
      </c>
      <c r="X196">
        <v>0</v>
      </c>
      <c r="Y196">
        <v>11</v>
      </c>
      <c r="Z196" t="s">
        <v>33</v>
      </c>
    </row>
    <row r="197" spans="1:26" x14ac:dyDescent="0.3">
      <c r="A197" t="s">
        <v>99</v>
      </c>
      <c r="B197" t="s">
        <v>27</v>
      </c>
      <c r="C197">
        <v>24</v>
      </c>
      <c r="D197">
        <v>18</v>
      </c>
      <c r="E197">
        <v>83.333333333333343</v>
      </c>
      <c r="F197" t="b">
        <v>1</v>
      </c>
      <c r="G197">
        <v>60</v>
      </c>
      <c r="H197">
        <v>68</v>
      </c>
      <c r="I197">
        <v>62.5</v>
      </c>
      <c r="J197">
        <v>77.3</v>
      </c>
      <c r="K197">
        <v>66.95</v>
      </c>
      <c r="L197" t="s">
        <v>28</v>
      </c>
      <c r="M197">
        <v>6</v>
      </c>
      <c r="N197" t="s">
        <v>55</v>
      </c>
      <c r="O197">
        <v>20</v>
      </c>
      <c r="P197">
        <v>8</v>
      </c>
      <c r="Q197">
        <v>50</v>
      </c>
      <c r="R197" t="s">
        <v>30</v>
      </c>
      <c r="S197">
        <v>4</v>
      </c>
      <c r="T197" t="s">
        <v>31</v>
      </c>
      <c r="U197" t="s">
        <v>36</v>
      </c>
      <c r="V197">
        <v>0</v>
      </c>
      <c r="W197">
        <v>0</v>
      </c>
      <c r="X197">
        <v>0</v>
      </c>
      <c r="Y197">
        <v>8</v>
      </c>
      <c r="Z197" t="s">
        <v>37</v>
      </c>
    </row>
    <row r="198" spans="1:26" x14ac:dyDescent="0.3">
      <c r="A198" t="s">
        <v>99</v>
      </c>
      <c r="B198" t="s">
        <v>51</v>
      </c>
      <c r="C198">
        <v>40</v>
      </c>
      <c r="D198">
        <v>20</v>
      </c>
      <c r="E198">
        <v>75</v>
      </c>
      <c r="F198" t="b">
        <v>1</v>
      </c>
      <c r="H198">
        <v>95.8</v>
      </c>
      <c r="I198">
        <v>96.1</v>
      </c>
      <c r="J198">
        <v>88.4</v>
      </c>
      <c r="K198">
        <v>93.433333333333323</v>
      </c>
      <c r="L198" t="s">
        <v>28</v>
      </c>
      <c r="M198">
        <v>6</v>
      </c>
      <c r="N198" t="s">
        <v>55</v>
      </c>
      <c r="O198">
        <v>24</v>
      </c>
      <c r="P198">
        <v>12</v>
      </c>
      <c r="Q198">
        <v>87</v>
      </c>
      <c r="R198" t="s">
        <v>30</v>
      </c>
      <c r="S198">
        <v>3</v>
      </c>
      <c r="T198" t="s">
        <v>52</v>
      </c>
      <c r="U198" t="s">
        <v>56</v>
      </c>
      <c r="V198">
        <v>0</v>
      </c>
      <c r="W198">
        <v>0</v>
      </c>
      <c r="X198">
        <v>1</v>
      </c>
      <c r="Y198">
        <v>12</v>
      </c>
      <c r="Z198" t="s">
        <v>37</v>
      </c>
    </row>
    <row r="199" spans="1:26" x14ac:dyDescent="0.3">
      <c r="A199" t="s">
        <v>99</v>
      </c>
      <c r="B199" t="s">
        <v>38</v>
      </c>
      <c r="C199">
        <v>27</v>
      </c>
      <c r="D199">
        <v>30</v>
      </c>
      <c r="E199">
        <v>66.666666666666657</v>
      </c>
      <c r="F199" t="b">
        <v>1</v>
      </c>
      <c r="G199">
        <v>98.8</v>
      </c>
      <c r="H199">
        <v>88.6</v>
      </c>
      <c r="J199">
        <v>100</v>
      </c>
      <c r="K199">
        <v>95.8</v>
      </c>
      <c r="L199" t="s">
        <v>28</v>
      </c>
      <c r="M199">
        <v>6</v>
      </c>
      <c r="N199" t="s">
        <v>55</v>
      </c>
      <c r="O199">
        <v>15</v>
      </c>
      <c r="P199">
        <v>9</v>
      </c>
      <c r="Q199">
        <v>48</v>
      </c>
      <c r="R199" t="s">
        <v>30</v>
      </c>
      <c r="S199">
        <v>3</v>
      </c>
      <c r="T199" t="s">
        <v>39</v>
      </c>
      <c r="U199" t="s">
        <v>56</v>
      </c>
      <c r="V199">
        <v>1</v>
      </c>
      <c r="W199">
        <v>0</v>
      </c>
      <c r="X199">
        <v>1</v>
      </c>
      <c r="Y199">
        <v>9</v>
      </c>
      <c r="Z199" t="s">
        <v>37</v>
      </c>
    </row>
    <row r="200" spans="1:26" x14ac:dyDescent="0.3">
      <c r="A200" t="s">
        <v>99</v>
      </c>
      <c r="B200" t="s">
        <v>45</v>
      </c>
      <c r="C200">
        <v>39</v>
      </c>
      <c r="D200">
        <v>18</v>
      </c>
      <c r="E200">
        <v>71.794871794871796</v>
      </c>
      <c r="F200" t="b">
        <v>1</v>
      </c>
      <c r="G200">
        <v>76</v>
      </c>
      <c r="H200">
        <v>100</v>
      </c>
      <c r="I200">
        <v>78</v>
      </c>
      <c r="J200">
        <v>100</v>
      </c>
      <c r="K200">
        <v>88.5</v>
      </c>
      <c r="L200" t="s">
        <v>28</v>
      </c>
      <c r="M200">
        <v>6</v>
      </c>
      <c r="N200" t="s">
        <v>55</v>
      </c>
      <c r="O200">
        <v>18</v>
      </c>
      <c r="P200">
        <v>8</v>
      </c>
      <c r="Q200">
        <v>44</v>
      </c>
      <c r="R200" t="s">
        <v>46</v>
      </c>
      <c r="S200">
        <v>4</v>
      </c>
      <c r="T200" t="s">
        <v>47</v>
      </c>
      <c r="U200" t="s">
        <v>56</v>
      </c>
      <c r="V200">
        <v>1</v>
      </c>
      <c r="W200">
        <v>0</v>
      </c>
      <c r="X200">
        <v>0</v>
      </c>
      <c r="Y200">
        <v>8</v>
      </c>
      <c r="Z200" t="s">
        <v>37</v>
      </c>
    </row>
    <row r="201" spans="1:26" x14ac:dyDescent="0.3">
      <c r="A201" t="s">
        <v>100</v>
      </c>
      <c r="B201" t="s">
        <v>27</v>
      </c>
      <c r="C201">
        <v>24</v>
      </c>
      <c r="D201">
        <v>28</v>
      </c>
      <c r="E201">
        <v>50</v>
      </c>
      <c r="F201" t="b">
        <v>1</v>
      </c>
      <c r="G201">
        <v>49.6</v>
      </c>
      <c r="H201">
        <v>74.7</v>
      </c>
      <c r="I201">
        <v>87.7</v>
      </c>
      <c r="J201">
        <v>64.7</v>
      </c>
      <c r="K201">
        <v>69.174999999999997</v>
      </c>
      <c r="L201" t="s">
        <v>28</v>
      </c>
      <c r="M201">
        <v>4</v>
      </c>
      <c r="N201" t="s">
        <v>55</v>
      </c>
      <c r="O201">
        <v>5</v>
      </c>
      <c r="P201">
        <v>7</v>
      </c>
      <c r="Q201">
        <v>40</v>
      </c>
      <c r="R201" t="s">
        <v>30</v>
      </c>
      <c r="S201">
        <v>4</v>
      </c>
      <c r="T201" t="s">
        <v>31</v>
      </c>
      <c r="U201" t="s">
        <v>36</v>
      </c>
      <c r="V201">
        <v>1</v>
      </c>
      <c r="W201">
        <v>0</v>
      </c>
      <c r="X201">
        <v>0</v>
      </c>
      <c r="Y201">
        <v>7</v>
      </c>
      <c r="Z201" t="s">
        <v>37</v>
      </c>
    </row>
    <row r="202" spans="1:26" x14ac:dyDescent="0.3">
      <c r="A202" t="s">
        <v>100</v>
      </c>
      <c r="B202" t="s">
        <v>51</v>
      </c>
      <c r="C202">
        <v>26</v>
      </c>
      <c r="D202">
        <v>12</v>
      </c>
      <c r="E202">
        <v>46.153846153846153</v>
      </c>
      <c r="F202" t="b">
        <v>1</v>
      </c>
      <c r="G202">
        <v>55.6</v>
      </c>
      <c r="I202">
        <v>52.4</v>
      </c>
      <c r="J202">
        <v>64</v>
      </c>
      <c r="K202">
        <v>57.333333333333343</v>
      </c>
      <c r="L202" t="s">
        <v>28</v>
      </c>
      <c r="M202">
        <v>4</v>
      </c>
      <c r="N202" t="s">
        <v>55</v>
      </c>
      <c r="O202">
        <v>20</v>
      </c>
      <c r="P202">
        <v>11</v>
      </c>
      <c r="Q202">
        <v>56</v>
      </c>
      <c r="R202" t="s">
        <v>30</v>
      </c>
      <c r="S202">
        <v>3</v>
      </c>
      <c r="T202" t="s">
        <v>52</v>
      </c>
      <c r="U202" t="s">
        <v>32</v>
      </c>
      <c r="V202">
        <v>1</v>
      </c>
      <c r="W202">
        <v>0</v>
      </c>
      <c r="X202">
        <v>1</v>
      </c>
      <c r="Y202">
        <v>11</v>
      </c>
      <c r="Z202" t="s">
        <v>33</v>
      </c>
    </row>
    <row r="203" spans="1:26" x14ac:dyDescent="0.3">
      <c r="A203" t="s">
        <v>100</v>
      </c>
      <c r="B203" t="s">
        <v>34</v>
      </c>
      <c r="C203">
        <v>29</v>
      </c>
      <c r="D203">
        <v>12</v>
      </c>
      <c r="E203">
        <v>51.724137931034477</v>
      </c>
      <c r="F203" t="b">
        <v>1</v>
      </c>
      <c r="G203">
        <v>66.099999999999994</v>
      </c>
      <c r="H203">
        <v>76.5</v>
      </c>
      <c r="I203">
        <v>63.2</v>
      </c>
      <c r="J203">
        <v>65.2</v>
      </c>
      <c r="K203">
        <v>67.75</v>
      </c>
      <c r="L203" t="s">
        <v>28</v>
      </c>
      <c r="M203">
        <v>4</v>
      </c>
      <c r="N203" t="s">
        <v>55</v>
      </c>
      <c r="O203">
        <v>16</v>
      </c>
      <c r="P203">
        <v>11</v>
      </c>
      <c r="Q203">
        <v>54</v>
      </c>
      <c r="R203" t="s">
        <v>35</v>
      </c>
      <c r="S203">
        <v>2</v>
      </c>
      <c r="T203" t="s">
        <v>31</v>
      </c>
      <c r="U203" t="s">
        <v>36</v>
      </c>
      <c r="V203">
        <v>1</v>
      </c>
      <c r="W203">
        <v>0</v>
      </c>
      <c r="X203">
        <v>0</v>
      </c>
      <c r="Y203">
        <v>11</v>
      </c>
      <c r="Z203" t="s">
        <v>37</v>
      </c>
    </row>
    <row r="204" spans="1:26" x14ac:dyDescent="0.3">
      <c r="A204" t="s">
        <v>100</v>
      </c>
      <c r="B204" t="s">
        <v>38</v>
      </c>
      <c r="C204">
        <v>40</v>
      </c>
      <c r="D204">
        <v>15</v>
      </c>
      <c r="E204">
        <v>67.5</v>
      </c>
      <c r="F204" t="b">
        <v>1</v>
      </c>
      <c r="G204">
        <v>68.3</v>
      </c>
      <c r="I204">
        <v>71.2</v>
      </c>
      <c r="J204">
        <v>71.5</v>
      </c>
      <c r="K204">
        <v>70.333333333333329</v>
      </c>
      <c r="L204" t="s">
        <v>28</v>
      </c>
      <c r="M204">
        <v>4</v>
      </c>
      <c r="N204" t="s">
        <v>55</v>
      </c>
      <c r="O204">
        <v>25</v>
      </c>
      <c r="P204">
        <v>9</v>
      </c>
      <c r="Q204">
        <v>73</v>
      </c>
      <c r="R204" t="s">
        <v>30</v>
      </c>
      <c r="S204">
        <v>3</v>
      </c>
      <c r="T204" t="s">
        <v>39</v>
      </c>
      <c r="U204" t="s">
        <v>36</v>
      </c>
      <c r="V204">
        <v>1</v>
      </c>
      <c r="W204">
        <v>0</v>
      </c>
      <c r="X204">
        <v>1</v>
      </c>
      <c r="Y204">
        <v>9</v>
      </c>
      <c r="Z204" t="s">
        <v>37</v>
      </c>
    </row>
    <row r="205" spans="1:26" x14ac:dyDescent="0.3">
      <c r="A205" t="s">
        <v>100</v>
      </c>
      <c r="B205" t="s">
        <v>57</v>
      </c>
      <c r="C205">
        <v>31</v>
      </c>
      <c r="D205">
        <v>27</v>
      </c>
      <c r="E205">
        <v>64.516129032258064</v>
      </c>
      <c r="F205" t="b">
        <v>1</v>
      </c>
      <c r="G205">
        <v>47</v>
      </c>
      <c r="H205">
        <v>63.2</v>
      </c>
      <c r="I205">
        <v>27.4</v>
      </c>
      <c r="J205">
        <v>66.8</v>
      </c>
      <c r="K205">
        <v>51.1</v>
      </c>
      <c r="L205" t="s">
        <v>28</v>
      </c>
      <c r="M205">
        <v>4</v>
      </c>
      <c r="N205" t="s">
        <v>55</v>
      </c>
      <c r="O205">
        <v>21</v>
      </c>
      <c r="P205">
        <v>8</v>
      </c>
      <c r="Q205">
        <v>74</v>
      </c>
      <c r="R205" t="s">
        <v>30</v>
      </c>
      <c r="S205">
        <v>4</v>
      </c>
      <c r="T205" t="s">
        <v>58</v>
      </c>
      <c r="U205" t="s">
        <v>32</v>
      </c>
      <c r="V205">
        <v>1</v>
      </c>
      <c r="W205">
        <v>0</v>
      </c>
      <c r="X205">
        <v>0</v>
      </c>
      <c r="Y205">
        <v>8</v>
      </c>
      <c r="Z205" t="s">
        <v>33</v>
      </c>
    </row>
    <row r="206" spans="1:26" x14ac:dyDescent="0.3">
      <c r="A206" t="s">
        <v>101</v>
      </c>
      <c r="B206" t="s">
        <v>51</v>
      </c>
      <c r="C206">
        <v>39</v>
      </c>
      <c r="D206">
        <v>20</v>
      </c>
      <c r="E206">
        <v>53.846153846153847</v>
      </c>
      <c r="F206" t="b">
        <v>1</v>
      </c>
      <c r="G206">
        <v>69.599999999999994</v>
      </c>
      <c r="H206">
        <v>65.7</v>
      </c>
      <c r="I206">
        <v>34.200000000000003</v>
      </c>
      <c r="J206">
        <v>58.2</v>
      </c>
      <c r="K206">
        <v>56.924999999999997</v>
      </c>
      <c r="L206" t="s">
        <v>61</v>
      </c>
      <c r="M206">
        <v>3</v>
      </c>
      <c r="N206" t="s">
        <v>55</v>
      </c>
      <c r="O206">
        <v>18</v>
      </c>
      <c r="P206">
        <v>4</v>
      </c>
      <c r="Q206">
        <v>57</v>
      </c>
      <c r="R206" t="s">
        <v>30</v>
      </c>
      <c r="S206">
        <v>3</v>
      </c>
      <c r="T206" t="s">
        <v>52</v>
      </c>
      <c r="U206" t="s">
        <v>32</v>
      </c>
      <c r="V206">
        <v>1</v>
      </c>
      <c r="W206">
        <v>0</v>
      </c>
      <c r="X206">
        <v>0</v>
      </c>
      <c r="Y206">
        <v>4</v>
      </c>
      <c r="Z206" t="s">
        <v>33</v>
      </c>
    </row>
    <row r="207" spans="1:26" x14ac:dyDescent="0.3">
      <c r="A207" t="s">
        <v>101</v>
      </c>
      <c r="B207" t="s">
        <v>38</v>
      </c>
      <c r="C207">
        <v>24</v>
      </c>
      <c r="D207">
        <v>21</v>
      </c>
      <c r="E207">
        <v>29.166666666666671</v>
      </c>
      <c r="F207" t="b">
        <v>1</v>
      </c>
      <c r="G207">
        <v>60.4</v>
      </c>
      <c r="H207">
        <v>56.5</v>
      </c>
      <c r="I207">
        <v>45</v>
      </c>
      <c r="J207">
        <v>69</v>
      </c>
      <c r="K207">
        <v>57.725000000000001</v>
      </c>
      <c r="L207" t="s">
        <v>61</v>
      </c>
      <c r="M207">
        <v>3</v>
      </c>
      <c r="N207" t="s">
        <v>55</v>
      </c>
      <c r="O207">
        <v>11</v>
      </c>
      <c r="P207">
        <v>10</v>
      </c>
      <c r="Q207">
        <v>45</v>
      </c>
      <c r="R207" t="s">
        <v>30</v>
      </c>
      <c r="S207">
        <v>3</v>
      </c>
      <c r="T207" t="s">
        <v>39</v>
      </c>
      <c r="U207" t="s">
        <v>32</v>
      </c>
      <c r="V207">
        <v>1</v>
      </c>
      <c r="W207">
        <v>0</v>
      </c>
      <c r="X207">
        <v>0</v>
      </c>
      <c r="Y207">
        <v>10</v>
      </c>
      <c r="Z207" t="s">
        <v>33</v>
      </c>
    </row>
    <row r="208" spans="1:26" x14ac:dyDescent="0.3">
      <c r="A208" t="s">
        <v>101</v>
      </c>
      <c r="B208" t="s">
        <v>40</v>
      </c>
      <c r="C208">
        <v>29</v>
      </c>
      <c r="D208">
        <v>7</v>
      </c>
      <c r="E208">
        <v>48.275862068965523</v>
      </c>
      <c r="F208" t="b">
        <v>1</v>
      </c>
      <c r="G208">
        <v>37</v>
      </c>
      <c r="H208">
        <v>33.5</v>
      </c>
      <c r="I208">
        <v>0.9</v>
      </c>
      <c r="J208">
        <v>46.9</v>
      </c>
      <c r="K208">
        <v>29.574999999999999</v>
      </c>
      <c r="L208" t="s">
        <v>61</v>
      </c>
      <c r="M208">
        <v>3</v>
      </c>
      <c r="N208" t="s">
        <v>55</v>
      </c>
      <c r="O208">
        <v>22</v>
      </c>
      <c r="P208">
        <v>11</v>
      </c>
      <c r="Q208">
        <v>63</v>
      </c>
      <c r="R208" t="s">
        <v>30</v>
      </c>
      <c r="S208">
        <v>3</v>
      </c>
      <c r="T208" t="s">
        <v>41</v>
      </c>
      <c r="U208" t="s">
        <v>68</v>
      </c>
      <c r="V208">
        <v>1</v>
      </c>
      <c r="W208">
        <v>0</v>
      </c>
      <c r="X208">
        <v>0</v>
      </c>
      <c r="Y208">
        <v>11</v>
      </c>
      <c r="Z208" t="s">
        <v>33</v>
      </c>
    </row>
    <row r="209" spans="1:26" x14ac:dyDescent="0.3">
      <c r="A209" t="s">
        <v>101</v>
      </c>
      <c r="B209" t="s">
        <v>42</v>
      </c>
      <c r="C209">
        <v>38</v>
      </c>
      <c r="D209">
        <v>14</v>
      </c>
      <c r="E209">
        <v>55.26315789473685</v>
      </c>
      <c r="F209" t="b">
        <v>1</v>
      </c>
      <c r="G209">
        <v>54.4</v>
      </c>
      <c r="H209">
        <v>38.200000000000003</v>
      </c>
      <c r="I209">
        <v>17.2</v>
      </c>
      <c r="J209">
        <v>54.4</v>
      </c>
      <c r="K209">
        <v>41.05</v>
      </c>
      <c r="L209" t="s">
        <v>61</v>
      </c>
      <c r="M209">
        <v>3</v>
      </c>
      <c r="N209" t="s">
        <v>55</v>
      </c>
      <c r="O209">
        <v>19</v>
      </c>
      <c r="P209">
        <v>9</v>
      </c>
      <c r="Q209">
        <v>58</v>
      </c>
      <c r="R209" t="s">
        <v>43</v>
      </c>
      <c r="S209">
        <v>3</v>
      </c>
      <c r="T209" t="s">
        <v>44</v>
      </c>
      <c r="U209" t="s">
        <v>32</v>
      </c>
      <c r="V209">
        <v>1</v>
      </c>
      <c r="W209">
        <v>0</v>
      </c>
      <c r="X209">
        <v>0</v>
      </c>
      <c r="Y209">
        <v>9</v>
      </c>
      <c r="Z209" t="s">
        <v>33</v>
      </c>
    </row>
    <row r="210" spans="1:26" x14ac:dyDescent="0.3">
      <c r="A210" t="s">
        <v>101</v>
      </c>
      <c r="B210" t="s">
        <v>45</v>
      </c>
      <c r="C210">
        <v>37</v>
      </c>
      <c r="D210">
        <v>21</v>
      </c>
      <c r="E210">
        <v>51.351351351351347</v>
      </c>
      <c r="F210" t="b">
        <v>1</v>
      </c>
      <c r="G210">
        <v>46.1</v>
      </c>
      <c r="H210">
        <v>46.8</v>
      </c>
      <c r="I210">
        <v>40.299999999999997</v>
      </c>
      <c r="J210">
        <v>71.900000000000006</v>
      </c>
      <c r="K210">
        <v>51.274999999999999</v>
      </c>
      <c r="L210" t="s">
        <v>61</v>
      </c>
      <c r="M210">
        <v>3</v>
      </c>
      <c r="N210" t="s">
        <v>55</v>
      </c>
      <c r="O210">
        <v>6</v>
      </c>
      <c r="P210">
        <v>9</v>
      </c>
      <c r="Q210">
        <v>16</v>
      </c>
      <c r="R210" t="s">
        <v>46</v>
      </c>
      <c r="S210">
        <v>4</v>
      </c>
      <c r="T210" t="s">
        <v>47</v>
      </c>
      <c r="U210" t="s">
        <v>32</v>
      </c>
      <c r="V210">
        <v>1</v>
      </c>
      <c r="W210">
        <v>0</v>
      </c>
      <c r="X210">
        <v>0</v>
      </c>
      <c r="Y210">
        <v>9</v>
      </c>
      <c r="Z210" t="s">
        <v>33</v>
      </c>
    </row>
    <row r="211" spans="1:26" x14ac:dyDescent="0.3">
      <c r="A211" t="s">
        <v>102</v>
      </c>
      <c r="B211" t="s">
        <v>27</v>
      </c>
      <c r="C211">
        <v>39</v>
      </c>
      <c r="D211">
        <v>19</v>
      </c>
      <c r="E211">
        <v>76.923076923076934</v>
      </c>
      <c r="F211" t="b">
        <v>1</v>
      </c>
      <c r="G211">
        <v>95.9</v>
      </c>
      <c r="H211">
        <v>83</v>
      </c>
      <c r="I211">
        <v>100</v>
      </c>
      <c r="J211">
        <v>89.6</v>
      </c>
      <c r="K211">
        <v>92.125</v>
      </c>
      <c r="L211" t="s">
        <v>28</v>
      </c>
      <c r="M211">
        <v>5</v>
      </c>
      <c r="N211" t="s">
        <v>50</v>
      </c>
      <c r="O211">
        <v>22</v>
      </c>
      <c r="P211">
        <v>13</v>
      </c>
      <c r="Q211">
        <v>52</v>
      </c>
      <c r="R211" t="s">
        <v>30</v>
      </c>
      <c r="S211">
        <v>4</v>
      </c>
      <c r="T211" t="s">
        <v>31</v>
      </c>
      <c r="U211" t="s">
        <v>56</v>
      </c>
      <c r="V211">
        <v>0</v>
      </c>
      <c r="W211">
        <v>0</v>
      </c>
      <c r="X211">
        <v>0</v>
      </c>
      <c r="Y211">
        <v>13</v>
      </c>
      <c r="Z211" t="s">
        <v>37</v>
      </c>
    </row>
    <row r="212" spans="1:26" x14ac:dyDescent="0.3">
      <c r="A212" t="s">
        <v>102</v>
      </c>
      <c r="B212" t="s">
        <v>34</v>
      </c>
      <c r="C212">
        <v>33</v>
      </c>
      <c r="D212">
        <v>30</v>
      </c>
      <c r="E212">
        <v>72.727272727272734</v>
      </c>
      <c r="F212" t="b">
        <v>1</v>
      </c>
      <c r="G212">
        <v>100</v>
      </c>
      <c r="H212">
        <v>96.6</v>
      </c>
      <c r="I212">
        <v>97.2</v>
      </c>
      <c r="J212">
        <v>100</v>
      </c>
      <c r="K212">
        <v>98.45</v>
      </c>
      <c r="L212" t="s">
        <v>28</v>
      </c>
      <c r="M212">
        <v>5</v>
      </c>
      <c r="N212" t="s">
        <v>50</v>
      </c>
      <c r="O212">
        <v>15</v>
      </c>
      <c r="P212">
        <v>10</v>
      </c>
      <c r="Q212">
        <v>47</v>
      </c>
      <c r="R212" t="s">
        <v>35</v>
      </c>
      <c r="S212">
        <v>2</v>
      </c>
      <c r="T212" t="s">
        <v>31</v>
      </c>
      <c r="U212" t="s">
        <v>56</v>
      </c>
      <c r="V212">
        <v>1</v>
      </c>
      <c r="W212">
        <v>0</v>
      </c>
      <c r="X212">
        <v>0</v>
      </c>
      <c r="Y212">
        <v>10</v>
      </c>
      <c r="Z212" t="s">
        <v>37</v>
      </c>
    </row>
    <row r="213" spans="1:26" x14ac:dyDescent="0.3">
      <c r="A213" t="s">
        <v>102</v>
      </c>
      <c r="B213" t="s">
        <v>40</v>
      </c>
      <c r="C213">
        <v>29</v>
      </c>
      <c r="D213">
        <v>24</v>
      </c>
      <c r="E213">
        <v>75.862068965517238</v>
      </c>
      <c r="F213" t="b">
        <v>1</v>
      </c>
      <c r="G213">
        <v>88.4</v>
      </c>
      <c r="H213">
        <v>100</v>
      </c>
      <c r="I213">
        <v>86.1</v>
      </c>
      <c r="J213">
        <v>98.5</v>
      </c>
      <c r="K213">
        <v>93.25</v>
      </c>
      <c r="L213" t="s">
        <v>28</v>
      </c>
      <c r="M213">
        <v>5</v>
      </c>
      <c r="N213" t="s">
        <v>50</v>
      </c>
      <c r="O213">
        <v>28</v>
      </c>
      <c r="P213">
        <v>11</v>
      </c>
      <c r="Q213">
        <v>65</v>
      </c>
      <c r="R213" t="s">
        <v>30</v>
      </c>
      <c r="S213">
        <v>3</v>
      </c>
      <c r="T213" t="s">
        <v>41</v>
      </c>
      <c r="U213" t="s">
        <v>56</v>
      </c>
      <c r="V213">
        <v>0</v>
      </c>
      <c r="W213">
        <v>0</v>
      </c>
      <c r="X213">
        <v>0</v>
      </c>
      <c r="Y213">
        <v>11</v>
      </c>
      <c r="Z213" t="s">
        <v>37</v>
      </c>
    </row>
    <row r="214" spans="1:26" x14ac:dyDescent="0.3">
      <c r="A214" t="s">
        <v>102</v>
      </c>
      <c r="B214" t="s">
        <v>57</v>
      </c>
      <c r="C214">
        <v>28</v>
      </c>
      <c r="D214">
        <v>22</v>
      </c>
      <c r="E214">
        <v>89.285714285714292</v>
      </c>
      <c r="F214" t="b">
        <v>1</v>
      </c>
      <c r="G214">
        <v>88</v>
      </c>
      <c r="H214">
        <v>100</v>
      </c>
      <c r="I214">
        <v>96.6</v>
      </c>
      <c r="J214">
        <v>100</v>
      </c>
      <c r="K214">
        <v>96.15</v>
      </c>
      <c r="L214" t="s">
        <v>28</v>
      </c>
      <c r="M214">
        <v>5</v>
      </c>
      <c r="N214" t="s">
        <v>50</v>
      </c>
      <c r="O214">
        <v>24</v>
      </c>
      <c r="P214">
        <v>12</v>
      </c>
      <c r="Q214">
        <v>64</v>
      </c>
      <c r="R214" t="s">
        <v>30</v>
      </c>
      <c r="S214">
        <v>4</v>
      </c>
      <c r="T214" t="s">
        <v>58</v>
      </c>
      <c r="U214" t="s">
        <v>56</v>
      </c>
      <c r="V214">
        <v>0</v>
      </c>
      <c r="W214">
        <v>0</v>
      </c>
      <c r="X214">
        <v>0</v>
      </c>
      <c r="Y214">
        <v>12</v>
      </c>
      <c r="Z214" t="s">
        <v>37</v>
      </c>
    </row>
    <row r="215" spans="1:26" x14ac:dyDescent="0.3">
      <c r="A215" t="s">
        <v>102</v>
      </c>
      <c r="B215" t="s">
        <v>42</v>
      </c>
      <c r="C215">
        <v>31</v>
      </c>
      <c r="D215">
        <v>25</v>
      </c>
      <c r="E215">
        <v>93.548387096774206</v>
      </c>
      <c r="F215" t="b">
        <v>1</v>
      </c>
      <c r="G215">
        <v>100</v>
      </c>
      <c r="H215">
        <v>91.2</v>
      </c>
      <c r="I215">
        <v>100</v>
      </c>
      <c r="J215">
        <v>100</v>
      </c>
      <c r="K215">
        <v>97.8</v>
      </c>
      <c r="L215" t="s">
        <v>28</v>
      </c>
      <c r="M215">
        <v>5</v>
      </c>
      <c r="N215" t="s">
        <v>50</v>
      </c>
      <c r="O215">
        <v>25</v>
      </c>
      <c r="P215">
        <v>7</v>
      </c>
      <c r="Q215">
        <v>58</v>
      </c>
      <c r="R215" t="s">
        <v>43</v>
      </c>
      <c r="S215">
        <v>3</v>
      </c>
      <c r="T215" t="s">
        <v>44</v>
      </c>
      <c r="U215" t="s">
        <v>56</v>
      </c>
      <c r="V215">
        <v>0</v>
      </c>
      <c r="W215">
        <v>0</v>
      </c>
      <c r="X215">
        <v>0</v>
      </c>
      <c r="Y215">
        <v>7</v>
      </c>
      <c r="Z215" t="s">
        <v>37</v>
      </c>
    </row>
    <row r="216" spans="1:26" x14ac:dyDescent="0.3">
      <c r="A216" t="s">
        <v>102</v>
      </c>
      <c r="B216" t="s">
        <v>45</v>
      </c>
      <c r="C216">
        <v>39</v>
      </c>
      <c r="D216">
        <v>29</v>
      </c>
      <c r="E216">
        <v>61.53846153846154</v>
      </c>
      <c r="F216" t="b">
        <v>1</v>
      </c>
      <c r="G216">
        <v>100</v>
      </c>
      <c r="H216">
        <v>83.7</v>
      </c>
      <c r="I216">
        <v>66.7</v>
      </c>
      <c r="J216">
        <v>100</v>
      </c>
      <c r="K216">
        <v>87.6</v>
      </c>
      <c r="L216" t="s">
        <v>28</v>
      </c>
      <c r="M216">
        <v>5</v>
      </c>
      <c r="N216" t="s">
        <v>50</v>
      </c>
      <c r="O216">
        <v>16</v>
      </c>
      <c r="P216">
        <v>10</v>
      </c>
      <c r="Q216">
        <v>32</v>
      </c>
      <c r="R216" t="s">
        <v>46</v>
      </c>
      <c r="S216">
        <v>4</v>
      </c>
      <c r="T216" t="s">
        <v>47</v>
      </c>
      <c r="U216" t="s">
        <v>56</v>
      </c>
      <c r="V216">
        <v>1</v>
      </c>
      <c r="W216">
        <v>0</v>
      </c>
      <c r="X216">
        <v>0</v>
      </c>
      <c r="Y216">
        <v>10</v>
      </c>
      <c r="Z216" t="s">
        <v>37</v>
      </c>
    </row>
    <row r="217" spans="1:26" x14ac:dyDescent="0.3">
      <c r="A217" t="s">
        <v>103</v>
      </c>
      <c r="B217" t="s">
        <v>27</v>
      </c>
      <c r="C217">
        <v>39</v>
      </c>
      <c r="D217">
        <v>24</v>
      </c>
      <c r="E217">
        <v>61.53846153846154</v>
      </c>
      <c r="F217" t="b">
        <v>1</v>
      </c>
      <c r="G217">
        <v>81.7</v>
      </c>
      <c r="H217">
        <v>78.099999999999994</v>
      </c>
      <c r="I217">
        <v>67.400000000000006</v>
      </c>
      <c r="J217">
        <v>100</v>
      </c>
      <c r="K217">
        <v>81.800000000000011</v>
      </c>
      <c r="L217" t="s">
        <v>28</v>
      </c>
      <c r="M217">
        <v>4</v>
      </c>
      <c r="N217" t="s">
        <v>55</v>
      </c>
      <c r="O217">
        <v>18</v>
      </c>
      <c r="P217">
        <v>13</v>
      </c>
      <c r="Q217">
        <v>48</v>
      </c>
      <c r="R217" t="s">
        <v>30</v>
      </c>
      <c r="S217">
        <v>4</v>
      </c>
      <c r="T217" t="s">
        <v>31</v>
      </c>
      <c r="U217" t="s">
        <v>56</v>
      </c>
      <c r="V217">
        <v>1</v>
      </c>
      <c r="W217">
        <v>0</v>
      </c>
      <c r="X217">
        <v>0</v>
      </c>
      <c r="Y217">
        <v>13</v>
      </c>
      <c r="Z217" t="s">
        <v>37</v>
      </c>
    </row>
    <row r="218" spans="1:26" x14ac:dyDescent="0.3">
      <c r="A218" t="s">
        <v>103</v>
      </c>
      <c r="B218" t="s">
        <v>34</v>
      </c>
      <c r="C218">
        <v>28</v>
      </c>
      <c r="D218">
        <v>24</v>
      </c>
      <c r="E218">
        <v>75</v>
      </c>
      <c r="F218" t="b">
        <v>1</v>
      </c>
      <c r="G218">
        <v>76.400000000000006</v>
      </c>
      <c r="H218">
        <v>88.3</v>
      </c>
      <c r="I218">
        <v>65.900000000000006</v>
      </c>
      <c r="K218">
        <v>76.86666666666666</v>
      </c>
      <c r="L218" t="s">
        <v>28</v>
      </c>
      <c r="M218">
        <v>4</v>
      </c>
      <c r="N218" t="s">
        <v>55</v>
      </c>
      <c r="O218">
        <v>16</v>
      </c>
      <c r="P218">
        <v>7</v>
      </c>
      <c r="Q218">
        <v>50</v>
      </c>
      <c r="R218" t="s">
        <v>35</v>
      </c>
      <c r="S218">
        <v>2</v>
      </c>
      <c r="T218" t="s">
        <v>31</v>
      </c>
      <c r="U218" t="s">
        <v>56</v>
      </c>
      <c r="V218">
        <v>0</v>
      </c>
      <c r="W218">
        <v>0</v>
      </c>
      <c r="X218">
        <v>1</v>
      </c>
      <c r="Y218">
        <v>7</v>
      </c>
      <c r="Z218" t="s">
        <v>37</v>
      </c>
    </row>
    <row r="219" spans="1:26" x14ac:dyDescent="0.3">
      <c r="A219" t="s">
        <v>103</v>
      </c>
      <c r="B219" t="s">
        <v>38</v>
      </c>
      <c r="C219">
        <v>33</v>
      </c>
      <c r="D219">
        <v>21</v>
      </c>
      <c r="E219">
        <v>66.666666666666657</v>
      </c>
      <c r="F219" t="b">
        <v>1</v>
      </c>
      <c r="G219">
        <v>71.900000000000006</v>
      </c>
      <c r="H219">
        <v>91.6</v>
      </c>
      <c r="I219">
        <v>97.8</v>
      </c>
      <c r="J219">
        <v>82.5</v>
      </c>
      <c r="K219">
        <v>85.95</v>
      </c>
      <c r="L219" t="s">
        <v>28</v>
      </c>
      <c r="M219">
        <v>4</v>
      </c>
      <c r="N219" t="s">
        <v>55</v>
      </c>
      <c r="O219">
        <v>21</v>
      </c>
      <c r="P219">
        <v>9</v>
      </c>
      <c r="Q219">
        <v>61</v>
      </c>
      <c r="R219" t="s">
        <v>30</v>
      </c>
      <c r="S219">
        <v>3</v>
      </c>
      <c r="T219" t="s">
        <v>39</v>
      </c>
      <c r="U219" t="s">
        <v>56</v>
      </c>
      <c r="V219">
        <v>1</v>
      </c>
      <c r="W219">
        <v>0</v>
      </c>
      <c r="X219">
        <v>0</v>
      </c>
      <c r="Y219">
        <v>9</v>
      </c>
      <c r="Z219" t="s">
        <v>37</v>
      </c>
    </row>
    <row r="220" spans="1:26" x14ac:dyDescent="0.3">
      <c r="A220" t="s">
        <v>103</v>
      </c>
      <c r="B220" t="s">
        <v>40</v>
      </c>
      <c r="C220">
        <v>31</v>
      </c>
      <c r="D220">
        <v>22</v>
      </c>
      <c r="E220">
        <v>67.741935483870961</v>
      </c>
      <c r="F220" t="b">
        <v>1</v>
      </c>
      <c r="G220">
        <v>70</v>
      </c>
      <c r="H220">
        <v>80.099999999999994</v>
      </c>
      <c r="I220">
        <v>75.2</v>
      </c>
      <c r="J220">
        <v>76.2</v>
      </c>
      <c r="K220">
        <v>75.375</v>
      </c>
      <c r="L220" t="s">
        <v>28</v>
      </c>
      <c r="M220">
        <v>4</v>
      </c>
      <c r="N220" t="s">
        <v>55</v>
      </c>
      <c r="O220">
        <v>17</v>
      </c>
      <c r="P220">
        <v>10</v>
      </c>
      <c r="Q220">
        <v>47</v>
      </c>
      <c r="R220" t="s">
        <v>30</v>
      </c>
      <c r="S220">
        <v>3</v>
      </c>
      <c r="T220" t="s">
        <v>41</v>
      </c>
      <c r="U220" t="s">
        <v>56</v>
      </c>
      <c r="V220">
        <v>1</v>
      </c>
      <c r="W220">
        <v>0</v>
      </c>
      <c r="X220">
        <v>0</v>
      </c>
      <c r="Y220">
        <v>10</v>
      </c>
      <c r="Z220" t="s">
        <v>37</v>
      </c>
    </row>
    <row r="221" spans="1:26" x14ac:dyDescent="0.3">
      <c r="A221" t="s">
        <v>103</v>
      </c>
      <c r="B221" t="s">
        <v>42</v>
      </c>
      <c r="C221">
        <v>38</v>
      </c>
      <c r="D221">
        <v>21</v>
      </c>
      <c r="E221">
        <v>73.68421052631578</v>
      </c>
      <c r="F221" t="b">
        <v>1</v>
      </c>
      <c r="G221">
        <v>79.099999999999994</v>
      </c>
      <c r="H221">
        <v>77.8</v>
      </c>
      <c r="I221">
        <v>100</v>
      </c>
      <c r="J221">
        <v>91.3</v>
      </c>
      <c r="K221">
        <v>87.05</v>
      </c>
      <c r="L221" t="s">
        <v>28</v>
      </c>
      <c r="M221">
        <v>4</v>
      </c>
      <c r="N221" t="s">
        <v>55</v>
      </c>
      <c r="O221">
        <v>19</v>
      </c>
      <c r="P221">
        <v>8</v>
      </c>
      <c r="Q221">
        <v>57</v>
      </c>
      <c r="R221" t="s">
        <v>43</v>
      </c>
      <c r="S221">
        <v>3</v>
      </c>
      <c r="T221" t="s">
        <v>44</v>
      </c>
      <c r="U221" t="s">
        <v>56</v>
      </c>
      <c r="V221">
        <v>1</v>
      </c>
      <c r="W221">
        <v>0</v>
      </c>
      <c r="X221">
        <v>0</v>
      </c>
      <c r="Y221">
        <v>8</v>
      </c>
      <c r="Z221" t="s">
        <v>37</v>
      </c>
    </row>
    <row r="222" spans="1:26" x14ac:dyDescent="0.3">
      <c r="A222" t="s">
        <v>104</v>
      </c>
      <c r="B222" t="s">
        <v>27</v>
      </c>
      <c r="C222">
        <v>24</v>
      </c>
      <c r="D222">
        <v>28</v>
      </c>
      <c r="E222">
        <v>70.833333333333343</v>
      </c>
      <c r="F222" t="b">
        <v>1</v>
      </c>
      <c r="G222">
        <v>41.1</v>
      </c>
      <c r="H222">
        <v>52.2</v>
      </c>
      <c r="I222">
        <v>1.2</v>
      </c>
      <c r="J222">
        <v>52.9</v>
      </c>
      <c r="K222">
        <v>36.85</v>
      </c>
      <c r="L222" t="s">
        <v>61</v>
      </c>
      <c r="M222">
        <v>6</v>
      </c>
      <c r="N222" t="s">
        <v>55</v>
      </c>
      <c r="O222">
        <v>16</v>
      </c>
      <c r="P222">
        <v>7</v>
      </c>
      <c r="Q222">
        <v>55</v>
      </c>
      <c r="R222" t="s">
        <v>30</v>
      </c>
      <c r="S222">
        <v>4</v>
      </c>
      <c r="T222" t="s">
        <v>31</v>
      </c>
      <c r="U222" t="s">
        <v>68</v>
      </c>
      <c r="V222">
        <v>1</v>
      </c>
      <c r="W222">
        <v>0</v>
      </c>
      <c r="X222">
        <v>0</v>
      </c>
      <c r="Y222">
        <v>7</v>
      </c>
      <c r="Z222" t="s">
        <v>33</v>
      </c>
    </row>
    <row r="223" spans="1:26" x14ac:dyDescent="0.3">
      <c r="A223" t="s">
        <v>104</v>
      </c>
      <c r="B223" t="s">
        <v>51</v>
      </c>
      <c r="C223">
        <v>34</v>
      </c>
      <c r="D223">
        <v>17</v>
      </c>
      <c r="E223">
        <v>61.764705882352942</v>
      </c>
      <c r="F223" t="b">
        <v>1</v>
      </c>
      <c r="G223">
        <v>16.7</v>
      </c>
      <c r="H223">
        <v>53.2</v>
      </c>
      <c r="I223">
        <v>52.2</v>
      </c>
      <c r="J223">
        <v>54.4</v>
      </c>
      <c r="K223">
        <v>44.125</v>
      </c>
      <c r="L223" t="s">
        <v>61</v>
      </c>
      <c r="M223">
        <v>6</v>
      </c>
      <c r="N223" t="s">
        <v>55</v>
      </c>
      <c r="O223">
        <v>14</v>
      </c>
      <c r="P223">
        <v>7</v>
      </c>
      <c r="Q223">
        <v>52</v>
      </c>
      <c r="R223" t="s">
        <v>30</v>
      </c>
      <c r="S223">
        <v>3</v>
      </c>
      <c r="T223" t="s">
        <v>52</v>
      </c>
      <c r="U223" t="s">
        <v>32</v>
      </c>
      <c r="V223">
        <v>1</v>
      </c>
      <c r="W223">
        <v>0</v>
      </c>
      <c r="X223">
        <v>0</v>
      </c>
      <c r="Y223">
        <v>7</v>
      </c>
      <c r="Z223" t="s">
        <v>33</v>
      </c>
    </row>
    <row r="224" spans="1:26" x14ac:dyDescent="0.3">
      <c r="A224" t="s">
        <v>104</v>
      </c>
      <c r="B224" t="s">
        <v>34</v>
      </c>
      <c r="C224">
        <v>25</v>
      </c>
      <c r="D224">
        <v>21</v>
      </c>
      <c r="E224">
        <v>52</v>
      </c>
      <c r="F224" t="b">
        <v>1</v>
      </c>
      <c r="G224">
        <v>34.799999999999997</v>
      </c>
      <c r="H224">
        <v>42.1</v>
      </c>
      <c r="I224">
        <v>36.1</v>
      </c>
      <c r="J224">
        <v>44.9</v>
      </c>
      <c r="K224">
        <v>39.475000000000001</v>
      </c>
      <c r="L224" t="s">
        <v>61</v>
      </c>
      <c r="M224">
        <v>6</v>
      </c>
      <c r="N224" t="s">
        <v>55</v>
      </c>
      <c r="P224">
        <v>5</v>
      </c>
      <c r="R224" t="s">
        <v>35</v>
      </c>
      <c r="S224">
        <v>2</v>
      </c>
      <c r="T224" t="s">
        <v>31</v>
      </c>
      <c r="U224" t="s">
        <v>68</v>
      </c>
      <c r="V224">
        <v>1</v>
      </c>
      <c r="W224">
        <v>1</v>
      </c>
      <c r="X224">
        <v>0</v>
      </c>
      <c r="Y224">
        <v>5</v>
      </c>
      <c r="Z224" t="s">
        <v>33</v>
      </c>
    </row>
    <row r="225" spans="1:26" x14ac:dyDescent="0.3">
      <c r="A225" t="s">
        <v>104</v>
      </c>
      <c r="B225" t="s">
        <v>57</v>
      </c>
      <c r="C225">
        <v>27</v>
      </c>
      <c r="D225">
        <v>13</v>
      </c>
      <c r="E225">
        <v>33.333333333333329</v>
      </c>
      <c r="F225" t="b">
        <v>1</v>
      </c>
      <c r="G225">
        <v>36</v>
      </c>
      <c r="H225">
        <v>44.4</v>
      </c>
      <c r="I225">
        <v>28.4</v>
      </c>
      <c r="J225">
        <v>48.5</v>
      </c>
      <c r="K225">
        <v>39.325000000000003</v>
      </c>
      <c r="L225" t="s">
        <v>61</v>
      </c>
      <c r="M225">
        <v>6</v>
      </c>
      <c r="N225" t="s">
        <v>55</v>
      </c>
      <c r="O225">
        <v>23</v>
      </c>
      <c r="P225">
        <v>5</v>
      </c>
      <c r="Q225">
        <v>51</v>
      </c>
      <c r="R225" t="s">
        <v>30</v>
      </c>
      <c r="S225">
        <v>4</v>
      </c>
      <c r="T225" t="s">
        <v>58</v>
      </c>
      <c r="U225" t="s">
        <v>68</v>
      </c>
      <c r="V225">
        <v>1</v>
      </c>
      <c r="W225">
        <v>0</v>
      </c>
      <c r="X225">
        <v>0</v>
      </c>
      <c r="Y225">
        <v>5</v>
      </c>
      <c r="Z225" t="s">
        <v>33</v>
      </c>
    </row>
    <row r="226" spans="1:26" x14ac:dyDescent="0.3">
      <c r="A226" t="s">
        <v>104</v>
      </c>
      <c r="B226" t="s">
        <v>42</v>
      </c>
      <c r="C226">
        <v>29</v>
      </c>
      <c r="D226">
        <v>9</v>
      </c>
      <c r="E226">
        <v>37.931034482758619</v>
      </c>
      <c r="F226" t="b">
        <v>1</v>
      </c>
      <c r="G226">
        <v>45.3</v>
      </c>
      <c r="H226">
        <v>55.5</v>
      </c>
      <c r="I226">
        <v>43.2</v>
      </c>
      <c r="J226">
        <v>49.3</v>
      </c>
      <c r="K226">
        <v>48.325000000000003</v>
      </c>
      <c r="L226" t="s">
        <v>61</v>
      </c>
      <c r="M226">
        <v>6</v>
      </c>
      <c r="N226" t="s">
        <v>55</v>
      </c>
      <c r="O226">
        <v>13</v>
      </c>
      <c r="P226">
        <v>12</v>
      </c>
      <c r="Q226">
        <v>56</v>
      </c>
      <c r="R226" t="s">
        <v>43</v>
      </c>
      <c r="S226">
        <v>3</v>
      </c>
      <c r="T226" t="s">
        <v>44</v>
      </c>
      <c r="U226" t="s">
        <v>32</v>
      </c>
      <c r="V226">
        <v>1</v>
      </c>
      <c r="W226">
        <v>0</v>
      </c>
      <c r="X226">
        <v>0</v>
      </c>
      <c r="Y226">
        <v>12</v>
      </c>
      <c r="Z226" t="s">
        <v>33</v>
      </c>
    </row>
    <row r="227" spans="1:26" x14ac:dyDescent="0.3">
      <c r="A227" t="s">
        <v>104</v>
      </c>
      <c r="B227" t="s">
        <v>45</v>
      </c>
      <c r="C227">
        <v>38</v>
      </c>
      <c r="D227">
        <v>11</v>
      </c>
      <c r="E227">
        <v>50</v>
      </c>
      <c r="F227" t="b">
        <v>1</v>
      </c>
      <c r="G227">
        <v>60.6</v>
      </c>
      <c r="H227">
        <v>59.1</v>
      </c>
      <c r="I227">
        <v>49.2</v>
      </c>
      <c r="J227">
        <v>59.7</v>
      </c>
      <c r="K227">
        <v>57.150000000000013</v>
      </c>
      <c r="L227" t="s">
        <v>61</v>
      </c>
      <c r="M227">
        <v>6</v>
      </c>
      <c r="N227" t="s">
        <v>55</v>
      </c>
      <c r="O227">
        <v>11</v>
      </c>
      <c r="P227">
        <v>9</v>
      </c>
      <c r="Q227">
        <v>30</v>
      </c>
      <c r="R227" t="s">
        <v>46</v>
      </c>
      <c r="S227">
        <v>4</v>
      </c>
      <c r="T227" t="s">
        <v>47</v>
      </c>
      <c r="U227" t="s">
        <v>32</v>
      </c>
      <c r="V227">
        <v>1</v>
      </c>
      <c r="W227">
        <v>0</v>
      </c>
      <c r="X227">
        <v>0</v>
      </c>
      <c r="Y227">
        <v>9</v>
      </c>
      <c r="Z227" t="s">
        <v>33</v>
      </c>
    </row>
    <row r="228" spans="1:26" x14ac:dyDescent="0.3">
      <c r="A228" t="s">
        <v>105</v>
      </c>
      <c r="B228" t="s">
        <v>27</v>
      </c>
      <c r="C228">
        <v>28</v>
      </c>
      <c r="D228">
        <v>19</v>
      </c>
      <c r="E228">
        <v>57.142857142857139</v>
      </c>
      <c r="F228" t="b">
        <v>1</v>
      </c>
      <c r="G228">
        <v>82</v>
      </c>
      <c r="H228">
        <v>74.2</v>
      </c>
      <c r="I228">
        <v>69.8</v>
      </c>
      <c r="J228">
        <v>76.7</v>
      </c>
      <c r="K228">
        <v>75.674999999999997</v>
      </c>
      <c r="L228" t="s">
        <v>61</v>
      </c>
      <c r="M228">
        <v>6</v>
      </c>
      <c r="N228" t="s">
        <v>55</v>
      </c>
      <c r="O228">
        <v>20</v>
      </c>
      <c r="P228">
        <v>9</v>
      </c>
      <c r="Q228">
        <v>55</v>
      </c>
      <c r="R228" t="s">
        <v>30</v>
      </c>
      <c r="S228">
        <v>4</v>
      </c>
      <c r="T228" t="s">
        <v>31</v>
      </c>
      <c r="U228" t="s">
        <v>56</v>
      </c>
      <c r="V228">
        <v>1</v>
      </c>
      <c r="W228">
        <v>0</v>
      </c>
      <c r="X228">
        <v>0</v>
      </c>
      <c r="Y228">
        <v>9</v>
      </c>
      <c r="Z228" t="s">
        <v>37</v>
      </c>
    </row>
    <row r="229" spans="1:26" x14ac:dyDescent="0.3">
      <c r="A229" t="s">
        <v>105</v>
      </c>
      <c r="B229" t="s">
        <v>38</v>
      </c>
      <c r="C229">
        <v>39</v>
      </c>
      <c r="D229">
        <v>16</v>
      </c>
      <c r="E229">
        <v>69.230769230769226</v>
      </c>
      <c r="F229" t="b">
        <v>1</v>
      </c>
      <c r="G229">
        <v>70.7</v>
      </c>
      <c r="H229">
        <v>75</v>
      </c>
      <c r="I229">
        <v>60.5</v>
      </c>
      <c r="J229">
        <v>73.5</v>
      </c>
      <c r="K229">
        <v>69.924999999999997</v>
      </c>
      <c r="L229" t="s">
        <v>61</v>
      </c>
      <c r="M229">
        <v>6</v>
      </c>
      <c r="N229" t="s">
        <v>55</v>
      </c>
      <c r="O229">
        <v>26</v>
      </c>
      <c r="P229">
        <v>9</v>
      </c>
      <c r="Q229">
        <v>60</v>
      </c>
      <c r="R229" t="s">
        <v>30</v>
      </c>
      <c r="S229">
        <v>3</v>
      </c>
      <c r="T229" t="s">
        <v>39</v>
      </c>
      <c r="U229" t="s">
        <v>36</v>
      </c>
      <c r="V229">
        <v>1</v>
      </c>
      <c r="W229">
        <v>0</v>
      </c>
      <c r="X229">
        <v>0</v>
      </c>
      <c r="Y229">
        <v>9</v>
      </c>
      <c r="Z229" t="s">
        <v>37</v>
      </c>
    </row>
    <row r="230" spans="1:26" x14ac:dyDescent="0.3">
      <c r="A230" t="s">
        <v>105</v>
      </c>
      <c r="B230" t="s">
        <v>57</v>
      </c>
      <c r="C230">
        <v>27</v>
      </c>
      <c r="D230">
        <v>27</v>
      </c>
      <c r="E230">
        <v>59.259259259259252</v>
      </c>
      <c r="F230" t="b">
        <v>1</v>
      </c>
      <c r="G230">
        <v>89.9</v>
      </c>
      <c r="H230">
        <v>83.6</v>
      </c>
      <c r="I230">
        <v>87.8</v>
      </c>
      <c r="J230">
        <v>81.2</v>
      </c>
      <c r="K230">
        <v>85.625</v>
      </c>
      <c r="L230" t="s">
        <v>61</v>
      </c>
      <c r="M230">
        <v>6</v>
      </c>
      <c r="N230" t="s">
        <v>55</v>
      </c>
      <c r="O230">
        <v>25</v>
      </c>
      <c r="P230">
        <v>8</v>
      </c>
      <c r="Q230">
        <v>70</v>
      </c>
      <c r="R230" t="s">
        <v>30</v>
      </c>
      <c r="S230">
        <v>4</v>
      </c>
      <c r="T230" t="s">
        <v>58</v>
      </c>
      <c r="U230" t="s">
        <v>56</v>
      </c>
      <c r="V230">
        <v>1</v>
      </c>
      <c r="W230">
        <v>0</v>
      </c>
      <c r="X230">
        <v>0</v>
      </c>
      <c r="Y230">
        <v>8</v>
      </c>
      <c r="Z230" t="s">
        <v>37</v>
      </c>
    </row>
    <row r="231" spans="1:26" x14ac:dyDescent="0.3">
      <c r="A231" t="s">
        <v>105</v>
      </c>
      <c r="B231" t="s">
        <v>45</v>
      </c>
      <c r="C231">
        <v>34</v>
      </c>
      <c r="D231">
        <v>16</v>
      </c>
      <c r="E231">
        <v>50</v>
      </c>
      <c r="F231" t="b">
        <v>1</v>
      </c>
      <c r="G231">
        <v>77.3</v>
      </c>
      <c r="H231">
        <v>85.8</v>
      </c>
      <c r="I231">
        <v>83.5</v>
      </c>
      <c r="J231">
        <v>74</v>
      </c>
      <c r="K231">
        <v>80.150000000000006</v>
      </c>
      <c r="L231" t="s">
        <v>61</v>
      </c>
      <c r="M231">
        <v>6</v>
      </c>
      <c r="N231" t="s">
        <v>55</v>
      </c>
      <c r="O231">
        <v>9</v>
      </c>
      <c r="P231">
        <v>8</v>
      </c>
      <c r="Q231">
        <v>44</v>
      </c>
      <c r="R231" t="s">
        <v>46</v>
      </c>
      <c r="S231">
        <v>4</v>
      </c>
      <c r="T231" t="s">
        <v>47</v>
      </c>
      <c r="U231" t="s">
        <v>56</v>
      </c>
      <c r="V231">
        <v>1</v>
      </c>
      <c r="W231">
        <v>0</v>
      </c>
      <c r="X231">
        <v>0</v>
      </c>
      <c r="Y231">
        <v>8</v>
      </c>
      <c r="Z231" t="s">
        <v>37</v>
      </c>
    </row>
    <row r="232" spans="1:26" x14ac:dyDescent="0.3">
      <c r="A232" t="s">
        <v>106</v>
      </c>
      <c r="B232" t="s">
        <v>51</v>
      </c>
      <c r="C232">
        <v>36</v>
      </c>
      <c r="D232">
        <v>17</v>
      </c>
      <c r="E232">
        <v>36.111111111111107</v>
      </c>
      <c r="F232" t="b">
        <v>1</v>
      </c>
      <c r="G232">
        <v>43.2</v>
      </c>
      <c r="H232">
        <v>58.3</v>
      </c>
      <c r="I232">
        <v>52.6</v>
      </c>
      <c r="J232">
        <v>62.9</v>
      </c>
      <c r="K232">
        <v>54.25</v>
      </c>
      <c r="L232" t="s">
        <v>28</v>
      </c>
      <c r="M232">
        <v>4</v>
      </c>
      <c r="N232" t="s">
        <v>50</v>
      </c>
      <c r="O232">
        <v>12</v>
      </c>
      <c r="P232">
        <v>8</v>
      </c>
      <c r="Q232">
        <v>37</v>
      </c>
      <c r="R232" t="s">
        <v>30</v>
      </c>
      <c r="S232">
        <v>3</v>
      </c>
      <c r="T232" t="s">
        <v>52</v>
      </c>
      <c r="U232" t="s">
        <v>32</v>
      </c>
      <c r="V232">
        <v>1</v>
      </c>
      <c r="W232">
        <v>0</v>
      </c>
      <c r="X232">
        <v>0</v>
      </c>
      <c r="Y232">
        <v>8</v>
      </c>
      <c r="Z232" t="s">
        <v>33</v>
      </c>
    </row>
    <row r="233" spans="1:26" x14ac:dyDescent="0.3">
      <c r="A233" t="s">
        <v>106</v>
      </c>
      <c r="B233" t="s">
        <v>34</v>
      </c>
      <c r="C233">
        <v>31</v>
      </c>
      <c r="D233">
        <v>13</v>
      </c>
      <c r="E233">
        <v>58.064516129032263</v>
      </c>
      <c r="F233" t="b">
        <v>1</v>
      </c>
      <c r="G233">
        <v>53.4</v>
      </c>
      <c r="H233">
        <v>63.6</v>
      </c>
      <c r="I233">
        <v>72.7</v>
      </c>
      <c r="J233">
        <v>76</v>
      </c>
      <c r="K233">
        <v>66.424999999999997</v>
      </c>
      <c r="L233" t="s">
        <v>28</v>
      </c>
      <c r="M233">
        <v>4</v>
      </c>
      <c r="N233" t="s">
        <v>50</v>
      </c>
      <c r="O233">
        <v>12</v>
      </c>
      <c r="P233">
        <v>7</v>
      </c>
      <c r="Q233">
        <v>43</v>
      </c>
      <c r="R233" t="s">
        <v>35</v>
      </c>
      <c r="S233">
        <v>2</v>
      </c>
      <c r="T233" t="s">
        <v>31</v>
      </c>
      <c r="U233" t="s">
        <v>36</v>
      </c>
      <c r="V233">
        <v>1</v>
      </c>
      <c r="W233">
        <v>0</v>
      </c>
      <c r="X233">
        <v>0</v>
      </c>
      <c r="Y233">
        <v>7</v>
      </c>
      <c r="Z233" t="s">
        <v>37</v>
      </c>
    </row>
    <row r="234" spans="1:26" x14ac:dyDescent="0.3">
      <c r="A234" t="s">
        <v>106</v>
      </c>
      <c r="B234" t="s">
        <v>57</v>
      </c>
      <c r="C234">
        <v>34</v>
      </c>
      <c r="D234">
        <v>18</v>
      </c>
      <c r="E234">
        <v>41.17647058823529</v>
      </c>
      <c r="F234" t="b">
        <v>1</v>
      </c>
      <c r="G234">
        <v>71.2</v>
      </c>
      <c r="H234">
        <v>75.599999999999994</v>
      </c>
      <c r="I234">
        <v>38.6</v>
      </c>
      <c r="J234">
        <v>71.900000000000006</v>
      </c>
      <c r="K234">
        <v>64.325000000000003</v>
      </c>
      <c r="L234" t="s">
        <v>28</v>
      </c>
      <c r="M234">
        <v>4</v>
      </c>
      <c r="N234" t="s">
        <v>50</v>
      </c>
      <c r="O234">
        <v>19</v>
      </c>
      <c r="P234">
        <v>6</v>
      </c>
      <c r="Q234">
        <v>54</v>
      </c>
      <c r="R234" t="s">
        <v>30</v>
      </c>
      <c r="S234">
        <v>4</v>
      </c>
      <c r="T234" t="s">
        <v>58</v>
      </c>
      <c r="U234" t="s">
        <v>36</v>
      </c>
      <c r="V234">
        <v>1</v>
      </c>
      <c r="W234">
        <v>0</v>
      </c>
      <c r="X234">
        <v>0</v>
      </c>
      <c r="Y234">
        <v>6</v>
      </c>
      <c r="Z234" t="s">
        <v>37</v>
      </c>
    </row>
    <row r="235" spans="1:26" x14ac:dyDescent="0.3">
      <c r="A235" t="s">
        <v>106</v>
      </c>
      <c r="B235" t="s">
        <v>45</v>
      </c>
      <c r="C235">
        <v>27</v>
      </c>
      <c r="D235">
        <v>14</v>
      </c>
      <c r="E235">
        <v>85.18518518518519</v>
      </c>
      <c r="F235" t="b">
        <v>1</v>
      </c>
      <c r="G235">
        <v>47.9</v>
      </c>
      <c r="H235">
        <v>97.8</v>
      </c>
      <c r="I235">
        <v>53.1</v>
      </c>
      <c r="K235">
        <v>66.266666666666666</v>
      </c>
      <c r="L235" t="s">
        <v>28</v>
      </c>
      <c r="M235">
        <v>4</v>
      </c>
      <c r="N235" t="s">
        <v>50</v>
      </c>
      <c r="O235">
        <v>24</v>
      </c>
      <c r="P235">
        <v>6</v>
      </c>
      <c r="Q235">
        <v>68</v>
      </c>
      <c r="R235" t="s">
        <v>46</v>
      </c>
      <c r="S235">
        <v>4</v>
      </c>
      <c r="T235" t="s">
        <v>47</v>
      </c>
      <c r="U235" t="s">
        <v>36</v>
      </c>
      <c r="V235">
        <v>0</v>
      </c>
      <c r="W235">
        <v>0</v>
      </c>
      <c r="X235">
        <v>1</v>
      </c>
      <c r="Y235">
        <v>6</v>
      </c>
      <c r="Z235" t="s">
        <v>37</v>
      </c>
    </row>
    <row r="236" spans="1:26" x14ac:dyDescent="0.3">
      <c r="A236" t="s">
        <v>107</v>
      </c>
      <c r="B236" t="s">
        <v>51</v>
      </c>
      <c r="C236">
        <v>30</v>
      </c>
      <c r="D236">
        <v>23</v>
      </c>
      <c r="E236">
        <v>60</v>
      </c>
      <c r="F236" t="b">
        <v>1</v>
      </c>
      <c r="G236">
        <v>76</v>
      </c>
      <c r="H236">
        <v>81.400000000000006</v>
      </c>
      <c r="I236">
        <v>57.8</v>
      </c>
      <c r="J236">
        <v>66.7</v>
      </c>
      <c r="K236">
        <v>70.474999999999994</v>
      </c>
      <c r="L236" t="s">
        <v>61</v>
      </c>
      <c r="M236">
        <v>6</v>
      </c>
      <c r="N236" t="s">
        <v>55</v>
      </c>
      <c r="O236">
        <v>14</v>
      </c>
      <c r="P236">
        <v>7</v>
      </c>
      <c r="Q236">
        <v>52</v>
      </c>
      <c r="R236" t="s">
        <v>30</v>
      </c>
      <c r="S236">
        <v>3</v>
      </c>
      <c r="T236" t="s">
        <v>52</v>
      </c>
      <c r="U236" t="s">
        <v>36</v>
      </c>
      <c r="V236">
        <v>1</v>
      </c>
      <c r="W236">
        <v>0</v>
      </c>
      <c r="X236">
        <v>0</v>
      </c>
      <c r="Y236">
        <v>7</v>
      </c>
      <c r="Z236" t="s">
        <v>37</v>
      </c>
    </row>
    <row r="237" spans="1:26" x14ac:dyDescent="0.3">
      <c r="A237" t="s">
        <v>107</v>
      </c>
      <c r="B237" t="s">
        <v>34</v>
      </c>
      <c r="C237">
        <v>36</v>
      </c>
      <c r="D237">
        <v>18</v>
      </c>
      <c r="E237">
        <v>69.444444444444443</v>
      </c>
      <c r="F237" t="b">
        <v>1</v>
      </c>
      <c r="G237">
        <v>46.3</v>
      </c>
      <c r="H237">
        <v>48.6</v>
      </c>
      <c r="I237">
        <v>25.9</v>
      </c>
      <c r="J237">
        <v>62.4</v>
      </c>
      <c r="K237">
        <v>45.8</v>
      </c>
      <c r="L237" t="s">
        <v>61</v>
      </c>
      <c r="M237">
        <v>6</v>
      </c>
      <c r="N237" t="s">
        <v>55</v>
      </c>
      <c r="O237">
        <v>7</v>
      </c>
      <c r="P237">
        <v>6</v>
      </c>
      <c r="Q237">
        <v>28</v>
      </c>
      <c r="R237" t="s">
        <v>35</v>
      </c>
      <c r="S237">
        <v>2</v>
      </c>
      <c r="T237" t="s">
        <v>31</v>
      </c>
      <c r="U237" t="s">
        <v>32</v>
      </c>
      <c r="V237">
        <v>1</v>
      </c>
      <c r="W237">
        <v>0</v>
      </c>
      <c r="X237">
        <v>0</v>
      </c>
      <c r="Y237">
        <v>6</v>
      </c>
      <c r="Z237" t="s">
        <v>33</v>
      </c>
    </row>
    <row r="238" spans="1:26" x14ac:dyDescent="0.3">
      <c r="A238" t="s">
        <v>107</v>
      </c>
      <c r="B238" t="s">
        <v>57</v>
      </c>
      <c r="C238">
        <v>26</v>
      </c>
      <c r="D238">
        <v>25</v>
      </c>
      <c r="E238">
        <v>61.53846153846154</v>
      </c>
      <c r="F238" t="b">
        <v>1</v>
      </c>
      <c r="G238">
        <v>87.2</v>
      </c>
      <c r="H238">
        <v>78.2</v>
      </c>
      <c r="I238">
        <v>57.3</v>
      </c>
      <c r="J238">
        <v>91.9</v>
      </c>
      <c r="K238">
        <v>78.650000000000006</v>
      </c>
      <c r="L238" t="s">
        <v>61</v>
      </c>
      <c r="M238">
        <v>6</v>
      </c>
      <c r="N238" t="s">
        <v>55</v>
      </c>
      <c r="O238">
        <v>17</v>
      </c>
      <c r="P238">
        <v>9</v>
      </c>
      <c r="Q238">
        <v>48</v>
      </c>
      <c r="R238" t="s">
        <v>30</v>
      </c>
      <c r="S238">
        <v>4</v>
      </c>
      <c r="T238" t="s">
        <v>58</v>
      </c>
      <c r="U238" t="s">
        <v>56</v>
      </c>
      <c r="V238">
        <v>1</v>
      </c>
      <c r="W238">
        <v>0</v>
      </c>
      <c r="X238">
        <v>0</v>
      </c>
      <c r="Y238">
        <v>9</v>
      </c>
      <c r="Z238" t="s">
        <v>37</v>
      </c>
    </row>
    <row r="239" spans="1:26" x14ac:dyDescent="0.3">
      <c r="A239" t="s">
        <v>107</v>
      </c>
      <c r="B239" t="s">
        <v>42</v>
      </c>
      <c r="C239">
        <v>31</v>
      </c>
      <c r="D239">
        <v>16</v>
      </c>
      <c r="E239">
        <v>51.612903225806448</v>
      </c>
      <c r="F239" t="b">
        <v>1</v>
      </c>
      <c r="G239">
        <v>63.9</v>
      </c>
      <c r="H239">
        <v>53.4</v>
      </c>
      <c r="I239">
        <v>97.1</v>
      </c>
      <c r="J239">
        <v>53.5</v>
      </c>
      <c r="K239">
        <v>66.974999999999994</v>
      </c>
      <c r="L239" t="s">
        <v>61</v>
      </c>
      <c r="M239">
        <v>6</v>
      </c>
      <c r="N239" t="s">
        <v>55</v>
      </c>
      <c r="O239">
        <v>10</v>
      </c>
      <c r="P239">
        <v>10</v>
      </c>
      <c r="Q239">
        <v>52</v>
      </c>
      <c r="R239" t="s">
        <v>43</v>
      </c>
      <c r="S239">
        <v>3</v>
      </c>
      <c r="T239" t="s">
        <v>44</v>
      </c>
      <c r="U239" t="s">
        <v>36</v>
      </c>
      <c r="V239">
        <v>1</v>
      </c>
      <c r="W239">
        <v>0</v>
      </c>
      <c r="X239">
        <v>0</v>
      </c>
      <c r="Y239">
        <v>10</v>
      </c>
      <c r="Z239" t="s">
        <v>37</v>
      </c>
    </row>
    <row r="240" spans="1:26" x14ac:dyDescent="0.3">
      <c r="A240" t="s">
        <v>108</v>
      </c>
      <c r="B240" t="s">
        <v>27</v>
      </c>
      <c r="C240">
        <v>38</v>
      </c>
      <c r="D240">
        <v>16</v>
      </c>
      <c r="E240">
        <v>63.157894736842103</v>
      </c>
      <c r="F240" t="b">
        <v>1</v>
      </c>
      <c r="G240">
        <v>58.5</v>
      </c>
      <c r="H240">
        <v>57.8</v>
      </c>
      <c r="I240">
        <v>50.1</v>
      </c>
      <c r="J240">
        <v>56.4</v>
      </c>
      <c r="K240">
        <v>55.7</v>
      </c>
      <c r="L240" t="s">
        <v>61</v>
      </c>
      <c r="M240">
        <v>4</v>
      </c>
      <c r="N240" t="s">
        <v>29</v>
      </c>
      <c r="O240">
        <v>19</v>
      </c>
      <c r="P240">
        <v>8</v>
      </c>
      <c r="Q240">
        <v>48</v>
      </c>
      <c r="R240" t="s">
        <v>30</v>
      </c>
      <c r="S240">
        <v>4</v>
      </c>
      <c r="T240" t="s">
        <v>31</v>
      </c>
      <c r="U240" t="s">
        <v>32</v>
      </c>
      <c r="V240">
        <v>1</v>
      </c>
      <c r="W240">
        <v>0</v>
      </c>
      <c r="X240">
        <v>0</v>
      </c>
      <c r="Y240">
        <v>8</v>
      </c>
      <c r="Z240" t="s">
        <v>33</v>
      </c>
    </row>
    <row r="241" spans="1:26" x14ac:dyDescent="0.3">
      <c r="A241" t="s">
        <v>108</v>
      </c>
      <c r="B241" t="s">
        <v>51</v>
      </c>
      <c r="C241">
        <v>26</v>
      </c>
      <c r="D241">
        <v>24</v>
      </c>
      <c r="E241">
        <v>65.384615384615387</v>
      </c>
      <c r="F241" t="b">
        <v>1</v>
      </c>
      <c r="G241">
        <v>82.8</v>
      </c>
      <c r="H241">
        <v>87.2</v>
      </c>
      <c r="I241">
        <v>47.6</v>
      </c>
      <c r="J241">
        <v>79.099999999999994</v>
      </c>
      <c r="K241">
        <v>74.174999999999997</v>
      </c>
      <c r="L241" t="s">
        <v>61</v>
      </c>
      <c r="M241">
        <v>4</v>
      </c>
      <c r="N241" t="s">
        <v>29</v>
      </c>
      <c r="O241">
        <v>13</v>
      </c>
      <c r="P241">
        <v>9</v>
      </c>
      <c r="Q241">
        <v>32</v>
      </c>
      <c r="R241" t="s">
        <v>30</v>
      </c>
      <c r="S241">
        <v>3</v>
      </c>
      <c r="T241" t="s">
        <v>52</v>
      </c>
      <c r="U241" t="s">
        <v>36</v>
      </c>
      <c r="V241">
        <v>1</v>
      </c>
      <c r="W241">
        <v>0</v>
      </c>
      <c r="X241">
        <v>0</v>
      </c>
      <c r="Y241">
        <v>9</v>
      </c>
      <c r="Z241" t="s">
        <v>37</v>
      </c>
    </row>
    <row r="242" spans="1:26" x14ac:dyDescent="0.3">
      <c r="A242" t="s">
        <v>108</v>
      </c>
      <c r="B242" t="s">
        <v>38</v>
      </c>
      <c r="C242">
        <v>35</v>
      </c>
      <c r="D242">
        <v>17</v>
      </c>
      <c r="E242">
        <v>42.857142857142847</v>
      </c>
      <c r="F242" t="b">
        <v>1</v>
      </c>
      <c r="G242">
        <v>60</v>
      </c>
      <c r="H242">
        <v>55.5</v>
      </c>
      <c r="I242">
        <v>68.400000000000006</v>
      </c>
      <c r="J242">
        <v>61</v>
      </c>
      <c r="K242">
        <v>61.225000000000001</v>
      </c>
      <c r="L242" t="s">
        <v>61</v>
      </c>
      <c r="M242">
        <v>4</v>
      </c>
      <c r="N242" t="s">
        <v>29</v>
      </c>
      <c r="O242">
        <v>8</v>
      </c>
      <c r="P242">
        <v>10</v>
      </c>
      <c r="Q242">
        <v>30</v>
      </c>
      <c r="R242" t="s">
        <v>30</v>
      </c>
      <c r="S242">
        <v>3</v>
      </c>
      <c r="T242" t="s">
        <v>39</v>
      </c>
      <c r="U242" t="s">
        <v>36</v>
      </c>
      <c r="V242">
        <v>1</v>
      </c>
      <c r="W242">
        <v>0</v>
      </c>
      <c r="X242">
        <v>0</v>
      </c>
      <c r="Y242">
        <v>10</v>
      </c>
      <c r="Z242" t="s">
        <v>37</v>
      </c>
    </row>
    <row r="243" spans="1:26" x14ac:dyDescent="0.3">
      <c r="A243" t="s">
        <v>108</v>
      </c>
      <c r="B243" t="s">
        <v>40</v>
      </c>
      <c r="C243">
        <v>34</v>
      </c>
      <c r="D243">
        <v>15</v>
      </c>
      <c r="E243">
        <v>50</v>
      </c>
      <c r="F243" t="b">
        <v>1</v>
      </c>
      <c r="G243">
        <v>61.6</v>
      </c>
      <c r="H243">
        <v>63.8</v>
      </c>
      <c r="I243">
        <v>52.7</v>
      </c>
      <c r="J243">
        <v>45.7</v>
      </c>
      <c r="K243">
        <v>55.95</v>
      </c>
      <c r="L243" t="s">
        <v>61</v>
      </c>
      <c r="M243">
        <v>4</v>
      </c>
      <c r="N243" t="s">
        <v>29</v>
      </c>
      <c r="O243">
        <v>14</v>
      </c>
      <c r="P243">
        <v>7</v>
      </c>
      <c r="Q243">
        <v>53</v>
      </c>
      <c r="R243" t="s">
        <v>30</v>
      </c>
      <c r="S243">
        <v>3</v>
      </c>
      <c r="T243" t="s">
        <v>41</v>
      </c>
      <c r="U243" t="s">
        <v>32</v>
      </c>
      <c r="V243">
        <v>1</v>
      </c>
      <c r="W243">
        <v>0</v>
      </c>
      <c r="X243">
        <v>0</v>
      </c>
      <c r="Y243">
        <v>7</v>
      </c>
      <c r="Z243" t="s">
        <v>33</v>
      </c>
    </row>
    <row r="244" spans="1:26" x14ac:dyDescent="0.3">
      <c r="A244" t="s">
        <v>108</v>
      </c>
      <c r="B244" t="s">
        <v>57</v>
      </c>
      <c r="C244">
        <v>36</v>
      </c>
      <c r="D244">
        <v>17</v>
      </c>
      <c r="E244">
        <v>72.222222222222214</v>
      </c>
      <c r="F244" t="b">
        <v>1</v>
      </c>
      <c r="G244">
        <v>17.5</v>
      </c>
      <c r="H244">
        <v>37.700000000000003</v>
      </c>
      <c r="I244">
        <v>68.3</v>
      </c>
      <c r="J244">
        <v>53.8</v>
      </c>
      <c r="K244">
        <v>44.325000000000003</v>
      </c>
      <c r="L244" t="s">
        <v>61</v>
      </c>
      <c r="M244">
        <v>4</v>
      </c>
      <c r="N244" t="s">
        <v>29</v>
      </c>
      <c r="O244">
        <v>14</v>
      </c>
      <c r="P244">
        <v>11</v>
      </c>
      <c r="Q244">
        <v>57</v>
      </c>
      <c r="R244" t="s">
        <v>30</v>
      </c>
      <c r="S244">
        <v>4</v>
      </c>
      <c r="T244" t="s">
        <v>58</v>
      </c>
      <c r="U244" t="s">
        <v>32</v>
      </c>
      <c r="V244">
        <v>1</v>
      </c>
      <c r="W244">
        <v>0</v>
      </c>
      <c r="X244">
        <v>0</v>
      </c>
      <c r="Y244">
        <v>11</v>
      </c>
      <c r="Z244" t="s">
        <v>33</v>
      </c>
    </row>
    <row r="245" spans="1:26" x14ac:dyDescent="0.3">
      <c r="A245" t="s">
        <v>108</v>
      </c>
      <c r="B245" t="s">
        <v>45</v>
      </c>
      <c r="C245">
        <v>40</v>
      </c>
      <c r="D245">
        <v>26</v>
      </c>
      <c r="E245">
        <v>52.5</v>
      </c>
      <c r="F245" t="b">
        <v>1</v>
      </c>
      <c r="G245">
        <v>68.099999999999994</v>
      </c>
      <c r="H245">
        <v>59.6</v>
      </c>
      <c r="I245">
        <v>35.6</v>
      </c>
      <c r="J245">
        <v>66.3</v>
      </c>
      <c r="K245">
        <v>57.399999999999991</v>
      </c>
      <c r="L245" t="s">
        <v>61</v>
      </c>
      <c r="M245">
        <v>4</v>
      </c>
      <c r="N245" t="s">
        <v>29</v>
      </c>
      <c r="O245">
        <v>14</v>
      </c>
      <c r="P245">
        <v>12</v>
      </c>
      <c r="Q245">
        <v>45</v>
      </c>
      <c r="R245" t="s">
        <v>46</v>
      </c>
      <c r="S245">
        <v>4</v>
      </c>
      <c r="T245" t="s">
        <v>47</v>
      </c>
      <c r="U245" t="s">
        <v>32</v>
      </c>
      <c r="V245">
        <v>1</v>
      </c>
      <c r="W245">
        <v>0</v>
      </c>
      <c r="X245">
        <v>0</v>
      </c>
      <c r="Y245">
        <v>12</v>
      </c>
      <c r="Z245" t="s">
        <v>33</v>
      </c>
    </row>
    <row r="246" spans="1:26" x14ac:dyDescent="0.3">
      <c r="A246" t="s">
        <v>109</v>
      </c>
      <c r="B246" t="s">
        <v>51</v>
      </c>
      <c r="C246">
        <v>26</v>
      </c>
      <c r="D246">
        <v>21</v>
      </c>
      <c r="E246">
        <v>65.384615384615387</v>
      </c>
      <c r="F246" t="b">
        <v>1</v>
      </c>
      <c r="G246">
        <v>89.7</v>
      </c>
      <c r="H246">
        <v>58.5</v>
      </c>
      <c r="I246">
        <v>63.9</v>
      </c>
      <c r="J246">
        <v>76</v>
      </c>
      <c r="K246">
        <v>72.025000000000006</v>
      </c>
      <c r="L246" t="s">
        <v>61</v>
      </c>
      <c r="M246">
        <v>5</v>
      </c>
      <c r="N246" t="s">
        <v>55</v>
      </c>
      <c r="O246">
        <v>14</v>
      </c>
      <c r="P246">
        <v>9</v>
      </c>
      <c r="Q246">
        <v>31</v>
      </c>
      <c r="R246" t="s">
        <v>30</v>
      </c>
      <c r="S246">
        <v>3</v>
      </c>
      <c r="T246" t="s">
        <v>52</v>
      </c>
      <c r="U246" t="s">
        <v>36</v>
      </c>
      <c r="V246">
        <v>1</v>
      </c>
      <c r="W246">
        <v>0</v>
      </c>
      <c r="X246">
        <v>0</v>
      </c>
      <c r="Y246">
        <v>9</v>
      </c>
      <c r="Z246" t="s">
        <v>37</v>
      </c>
    </row>
    <row r="247" spans="1:26" x14ac:dyDescent="0.3">
      <c r="A247" t="s">
        <v>109</v>
      </c>
      <c r="B247" t="s">
        <v>34</v>
      </c>
      <c r="C247">
        <v>31</v>
      </c>
      <c r="D247">
        <v>17</v>
      </c>
      <c r="E247">
        <v>51.612903225806448</v>
      </c>
      <c r="F247" t="b">
        <v>1</v>
      </c>
      <c r="G247">
        <v>57.4</v>
      </c>
      <c r="H247">
        <v>92.7</v>
      </c>
      <c r="I247">
        <v>61.4</v>
      </c>
      <c r="J247">
        <v>85.6</v>
      </c>
      <c r="K247">
        <v>74.275000000000006</v>
      </c>
      <c r="L247" t="s">
        <v>61</v>
      </c>
      <c r="M247">
        <v>5</v>
      </c>
      <c r="N247" t="s">
        <v>55</v>
      </c>
      <c r="O247">
        <v>16</v>
      </c>
      <c r="P247">
        <v>9</v>
      </c>
      <c r="Q247">
        <v>37</v>
      </c>
      <c r="R247" t="s">
        <v>35</v>
      </c>
      <c r="S247">
        <v>2</v>
      </c>
      <c r="T247" t="s">
        <v>31</v>
      </c>
      <c r="U247" t="s">
        <v>36</v>
      </c>
      <c r="V247">
        <v>1</v>
      </c>
      <c r="W247">
        <v>0</v>
      </c>
      <c r="X247">
        <v>0</v>
      </c>
      <c r="Y247">
        <v>9</v>
      </c>
      <c r="Z247" t="s">
        <v>37</v>
      </c>
    </row>
    <row r="248" spans="1:26" x14ac:dyDescent="0.3">
      <c r="A248" t="s">
        <v>109</v>
      </c>
      <c r="B248" t="s">
        <v>40</v>
      </c>
      <c r="C248">
        <v>35</v>
      </c>
      <c r="D248">
        <v>16</v>
      </c>
      <c r="E248">
        <v>68.571428571428569</v>
      </c>
      <c r="F248" t="b">
        <v>1</v>
      </c>
      <c r="G248">
        <v>83</v>
      </c>
      <c r="H248">
        <v>62.3</v>
      </c>
      <c r="I248">
        <v>77.5</v>
      </c>
      <c r="J248">
        <v>73.3</v>
      </c>
      <c r="K248">
        <v>74.025000000000006</v>
      </c>
      <c r="L248" t="s">
        <v>61</v>
      </c>
      <c r="M248">
        <v>5</v>
      </c>
      <c r="N248" t="s">
        <v>55</v>
      </c>
      <c r="O248">
        <v>5</v>
      </c>
      <c r="P248">
        <v>5</v>
      </c>
      <c r="Q248">
        <v>20</v>
      </c>
      <c r="R248" t="s">
        <v>30</v>
      </c>
      <c r="S248">
        <v>3</v>
      </c>
      <c r="T248" t="s">
        <v>41</v>
      </c>
      <c r="U248" t="s">
        <v>36</v>
      </c>
      <c r="V248">
        <v>1</v>
      </c>
      <c r="W248">
        <v>0</v>
      </c>
      <c r="X248">
        <v>0</v>
      </c>
      <c r="Y248">
        <v>5</v>
      </c>
      <c r="Z248" t="s">
        <v>37</v>
      </c>
    </row>
    <row r="249" spans="1:26" x14ac:dyDescent="0.3">
      <c r="A249" t="s">
        <v>109</v>
      </c>
      <c r="B249" t="s">
        <v>57</v>
      </c>
      <c r="C249">
        <v>29</v>
      </c>
      <c r="D249">
        <v>24</v>
      </c>
      <c r="E249">
        <v>82.758620689655174</v>
      </c>
      <c r="F249" t="b">
        <v>1</v>
      </c>
      <c r="G249">
        <v>86.3</v>
      </c>
      <c r="H249">
        <v>66.599999999999994</v>
      </c>
      <c r="I249">
        <v>74.3</v>
      </c>
      <c r="J249">
        <v>68.400000000000006</v>
      </c>
      <c r="K249">
        <v>73.900000000000006</v>
      </c>
      <c r="L249" t="s">
        <v>61</v>
      </c>
      <c r="M249">
        <v>5</v>
      </c>
      <c r="N249" t="s">
        <v>55</v>
      </c>
      <c r="O249">
        <v>19</v>
      </c>
      <c r="P249">
        <v>8</v>
      </c>
      <c r="Q249">
        <v>55</v>
      </c>
      <c r="R249" t="s">
        <v>30</v>
      </c>
      <c r="S249">
        <v>4</v>
      </c>
      <c r="T249" t="s">
        <v>58</v>
      </c>
      <c r="U249" t="s">
        <v>36</v>
      </c>
      <c r="V249">
        <v>0</v>
      </c>
      <c r="W249">
        <v>0</v>
      </c>
      <c r="X249">
        <v>0</v>
      </c>
      <c r="Y249">
        <v>8</v>
      </c>
      <c r="Z249" t="s">
        <v>37</v>
      </c>
    </row>
    <row r="250" spans="1:26" x14ac:dyDescent="0.3">
      <c r="A250" t="s">
        <v>110</v>
      </c>
      <c r="B250" t="s">
        <v>27</v>
      </c>
      <c r="C250">
        <v>30</v>
      </c>
      <c r="D250">
        <v>24</v>
      </c>
      <c r="E250">
        <v>53.333333333333343</v>
      </c>
      <c r="F250" t="b">
        <v>1</v>
      </c>
      <c r="H250">
        <v>69</v>
      </c>
      <c r="I250">
        <v>52.6</v>
      </c>
      <c r="J250">
        <v>49.1</v>
      </c>
      <c r="K250">
        <v>56.9</v>
      </c>
      <c r="L250" t="s">
        <v>28</v>
      </c>
      <c r="M250">
        <v>4</v>
      </c>
      <c r="N250" t="s">
        <v>29</v>
      </c>
      <c r="O250">
        <v>16</v>
      </c>
      <c r="P250">
        <v>8</v>
      </c>
      <c r="Q250">
        <v>55</v>
      </c>
      <c r="R250" t="s">
        <v>30</v>
      </c>
      <c r="S250">
        <v>4</v>
      </c>
      <c r="T250" t="s">
        <v>31</v>
      </c>
      <c r="U250" t="s">
        <v>32</v>
      </c>
      <c r="V250">
        <v>1</v>
      </c>
      <c r="W250">
        <v>0</v>
      </c>
      <c r="X250">
        <v>1</v>
      </c>
      <c r="Y250">
        <v>8</v>
      </c>
      <c r="Z250" t="s">
        <v>33</v>
      </c>
    </row>
    <row r="251" spans="1:26" x14ac:dyDescent="0.3">
      <c r="A251" t="s">
        <v>110</v>
      </c>
      <c r="B251" t="s">
        <v>51</v>
      </c>
      <c r="C251">
        <v>31</v>
      </c>
      <c r="D251">
        <v>16</v>
      </c>
      <c r="E251">
        <v>80.645161290322577</v>
      </c>
      <c r="F251" t="b">
        <v>1</v>
      </c>
      <c r="H251">
        <v>59</v>
      </c>
      <c r="I251">
        <v>46.2</v>
      </c>
      <c r="J251">
        <v>55</v>
      </c>
      <c r="K251">
        <v>53.4</v>
      </c>
      <c r="L251" t="s">
        <v>28</v>
      </c>
      <c r="M251">
        <v>4</v>
      </c>
      <c r="N251" t="s">
        <v>29</v>
      </c>
      <c r="O251">
        <v>30</v>
      </c>
      <c r="P251">
        <v>10</v>
      </c>
      <c r="Q251">
        <v>71</v>
      </c>
      <c r="R251" t="s">
        <v>30</v>
      </c>
      <c r="S251">
        <v>3</v>
      </c>
      <c r="T251" t="s">
        <v>52</v>
      </c>
      <c r="U251" t="s">
        <v>32</v>
      </c>
      <c r="V251">
        <v>0</v>
      </c>
      <c r="W251">
        <v>0</v>
      </c>
      <c r="X251">
        <v>1</v>
      </c>
      <c r="Y251">
        <v>10</v>
      </c>
      <c r="Z251" t="s">
        <v>37</v>
      </c>
    </row>
    <row r="252" spans="1:26" x14ac:dyDescent="0.3">
      <c r="A252" t="s">
        <v>110</v>
      </c>
      <c r="B252" t="s">
        <v>34</v>
      </c>
      <c r="C252">
        <v>33</v>
      </c>
      <c r="D252">
        <v>25</v>
      </c>
      <c r="E252">
        <v>69.696969696969703</v>
      </c>
      <c r="F252" t="b">
        <v>1</v>
      </c>
      <c r="G252">
        <v>50.4</v>
      </c>
      <c r="H252">
        <v>71.400000000000006</v>
      </c>
      <c r="I252">
        <v>60.5</v>
      </c>
      <c r="J252">
        <v>58.3</v>
      </c>
      <c r="K252">
        <v>60.150000000000013</v>
      </c>
      <c r="L252" t="s">
        <v>28</v>
      </c>
      <c r="M252">
        <v>4</v>
      </c>
      <c r="N252" t="s">
        <v>29</v>
      </c>
      <c r="O252">
        <v>23</v>
      </c>
      <c r="P252">
        <v>8</v>
      </c>
      <c r="Q252">
        <v>68</v>
      </c>
      <c r="R252" t="s">
        <v>35</v>
      </c>
      <c r="S252">
        <v>2</v>
      </c>
      <c r="T252" t="s">
        <v>31</v>
      </c>
      <c r="U252" t="s">
        <v>36</v>
      </c>
      <c r="V252">
        <v>1</v>
      </c>
      <c r="W252">
        <v>0</v>
      </c>
      <c r="X252">
        <v>0</v>
      </c>
      <c r="Y252">
        <v>8</v>
      </c>
      <c r="Z252" t="s">
        <v>37</v>
      </c>
    </row>
    <row r="253" spans="1:26" x14ac:dyDescent="0.3">
      <c r="A253" t="s">
        <v>110</v>
      </c>
      <c r="B253" t="s">
        <v>40</v>
      </c>
      <c r="C253">
        <v>40</v>
      </c>
      <c r="D253">
        <v>23</v>
      </c>
      <c r="E253">
        <v>92.5</v>
      </c>
      <c r="F253" t="b">
        <v>1</v>
      </c>
      <c r="G253">
        <v>52.4</v>
      </c>
      <c r="H253">
        <v>63.6</v>
      </c>
      <c r="I253">
        <v>69.2</v>
      </c>
      <c r="J253">
        <v>59.3</v>
      </c>
      <c r="K253">
        <v>61.125</v>
      </c>
      <c r="L253" t="s">
        <v>28</v>
      </c>
      <c r="M253">
        <v>4</v>
      </c>
      <c r="N253" t="s">
        <v>29</v>
      </c>
      <c r="O253">
        <v>16</v>
      </c>
      <c r="P253">
        <v>11</v>
      </c>
      <c r="Q253">
        <v>52</v>
      </c>
      <c r="R253" t="s">
        <v>30</v>
      </c>
      <c r="S253">
        <v>3</v>
      </c>
      <c r="T253" t="s">
        <v>41</v>
      </c>
      <c r="U253" t="s">
        <v>36</v>
      </c>
      <c r="V253">
        <v>0</v>
      </c>
      <c r="W253">
        <v>0</v>
      </c>
      <c r="X253">
        <v>0</v>
      </c>
      <c r="Y253">
        <v>11</v>
      </c>
      <c r="Z253" t="s">
        <v>37</v>
      </c>
    </row>
    <row r="254" spans="1:26" x14ac:dyDescent="0.3">
      <c r="A254" t="s">
        <v>110</v>
      </c>
      <c r="B254" t="s">
        <v>45</v>
      </c>
      <c r="C254">
        <v>38</v>
      </c>
      <c r="D254">
        <v>37</v>
      </c>
      <c r="E254">
        <v>42.105263157894733</v>
      </c>
      <c r="F254" t="b">
        <v>1</v>
      </c>
      <c r="G254">
        <v>58.3</v>
      </c>
      <c r="H254">
        <v>59</v>
      </c>
      <c r="I254">
        <v>61</v>
      </c>
      <c r="J254">
        <v>50.9</v>
      </c>
      <c r="K254">
        <v>57.3</v>
      </c>
      <c r="L254" t="s">
        <v>28</v>
      </c>
      <c r="M254">
        <v>4</v>
      </c>
      <c r="N254" t="s">
        <v>29</v>
      </c>
      <c r="O254">
        <v>17</v>
      </c>
      <c r="P254">
        <v>11</v>
      </c>
      <c r="Q254">
        <v>55</v>
      </c>
      <c r="R254" t="s">
        <v>46</v>
      </c>
      <c r="S254">
        <v>4</v>
      </c>
      <c r="T254" t="s">
        <v>47</v>
      </c>
      <c r="U254" t="s">
        <v>32</v>
      </c>
      <c r="V254">
        <v>1</v>
      </c>
      <c r="W254">
        <v>0</v>
      </c>
      <c r="X254">
        <v>0</v>
      </c>
      <c r="Y254">
        <v>11</v>
      </c>
      <c r="Z254" t="s">
        <v>33</v>
      </c>
    </row>
    <row r="255" spans="1:26" x14ac:dyDescent="0.3">
      <c r="A255" t="s">
        <v>111</v>
      </c>
      <c r="B255" t="s">
        <v>27</v>
      </c>
      <c r="C255">
        <v>33</v>
      </c>
      <c r="D255">
        <v>16</v>
      </c>
      <c r="E255">
        <v>66.666666666666657</v>
      </c>
      <c r="F255" t="b">
        <v>1</v>
      </c>
      <c r="G255">
        <v>65.400000000000006</v>
      </c>
      <c r="H255">
        <v>72.900000000000006</v>
      </c>
      <c r="I255">
        <v>69.5</v>
      </c>
      <c r="J255">
        <v>91</v>
      </c>
      <c r="K255">
        <v>74.7</v>
      </c>
      <c r="L255" t="s">
        <v>28</v>
      </c>
      <c r="M255">
        <v>6</v>
      </c>
      <c r="N255" t="s">
        <v>55</v>
      </c>
      <c r="O255">
        <v>14</v>
      </c>
      <c r="P255">
        <v>11</v>
      </c>
      <c r="Q255">
        <v>47</v>
      </c>
      <c r="R255" t="s">
        <v>30</v>
      </c>
      <c r="S255">
        <v>4</v>
      </c>
      <c r="T255" t="s">
        <v>31</v>
      </c>
      <c r="U255" t="s">
        <v>36</v>
      </c>
      <c r="V255">
        <v>1</v>
      </c>
      <c r="W255">
        <v>0</v>
      </c>
      <c r="X255">
        <v>0</v>
      </c>
      <c r="Y255">
        <v>11</v>
      </c>
      <c r="Z255" t="s">
        <v>37</v>
      </c>
    </row>
    <row r="256" spans="1:26" x14ac:dyDescent="0.3">
      <c r="A256" t="s">
        <v>111</v>
      </c>
      <c r="B256" t="s">
        <v>51</v>
      </c>
      <c r="C256">
        <v>36</v>
      </c>
      <c r="D256">
        <v>22</v>
      </c>
      <c r="E256">
        <v>66.666666666666657</v>
      </c>
      <c r="F256" t="b">
        <v>1</v>
      </c>
      <c r="G256">
        <v>70.8</v>
      </c>
      <c r="H256">
        <v>75.2</v>
      </c>
      <c r="I256">
        <v>75.400000000000006</v>
      </c>
      <c r="J256">
        <v>84.8</v>
      </c>
      <c r="K256">
        <v>76.55</v>
      </c>
      <c r="L256" t="s">
        <v>28</v>
      </c>
      <c r="M256">
        <v>6</v>
      </c>
      <c r="N256" t="s">
        <v>55</v>
      </c>
      <c r="O256">
        <v>23</v>
      </c>
      <c r="P256">
        <v>7</v>
      </c>
      <c r="Q256">
        <v>53</v>
      </c>
      <c r="R256" t="s">
        <v>30</v>
      </c>
      <c r="S256">
        <v>3</v>
      </c>
      <c r="T256" t="s">
        <v>52</v>
      </c>
      <c r="U256" t="s">
        <v>56</v>
      </c>
      <c r="V256">
        <v>1</v>
      </c>
      <c r="W256">
        <v>0</v>
      </c>
      <c r="X256">
        <v>0</v>
      </c>
      <c r="Y256">
        <v>7</v>
      </c>
      <c r="Z256" t="s">
        <v>37</v>
      </c>
    </row>
    <row r="257" spans="1:26" x14ac:dyDescent="0.3">
      <c r="A257" t="s">
        <v>111</v>
      </c>
      <c r="B257" t="s">
        <v>34</v>
      </c>
      <c r="C257">
        <v>35</v>
      </c>
      <c r="D257">
        <v>24</v>
      </c>
      <c r="E257">
        <v>62.857142857142847</v>
      </c>
      <c r="F257" t="b">
        <v>1</v>
      </c>
      <c r="G257">
        <v>50.9</v>
      </c>
      <c r="H257">
        <v>65.099999999999994</v>
      </c>
      <c r="I257">
        <v>55.9</v>
      </c>
      <c r="J257">
        <v>65.5</v>
      </c>
      <c r="K257">
        <v>59.35</v>
      </c>
      <c r="L257" t="s">
        <v>28</v>
      </c>
      <c r="M257">
        <v>6</v>
      </c>
      <c r="N257" t="s">
        <v>55</v>
      </c>
      <c r="O257">
        <v>16</v>
      </c>
      <c r="P257">
        <v>11</v>
      </c>
      <c r="Q257">
        <v>51</v>
      </c>
      <c r="R257" t="s">
        <v>35</v>
      </c>
      <c r="S257">
        <v>2</v>
      </c>
      <c r="T257" t="s">
        <v>31</v>
      </c>
      <c r="U257" t="s">
        <v>32</v>
      </c>
      <c r="V257">
        <v>1</v>
      </c>
      <c r="W257">
        <v>0</v>
      </c>
      <c r="X257">
        <v>0</v>
      </c>
      <c r="Y257">
        <v>11</v>
      </c>
      <c r="Z257" t="s">
        <v>33</v>
      </c>
    </row>
    <row r="258" spans="1:26" x14ac:dyDescent="0.3">
      <c r="A258" t="s">
        <v>111</v>
      </c>
      <c r="B258" t="s">
        <v>38</v>
      </c>
      <c r="C258">
        <v>29</v>
      </c>
      <c r="D258">
        <v>22</v>
      </c>
      <c r="E258">
        <v>55.172413793103438</v>
      </c>
      <c r="F258" t="b">
        <v>1</v>
      </c>
      <c r="G258">
        <v>62.1</v>
      </c>
      <c r="H258">
        <v>94.8</v>
      </c>
      <c r="I258">
        <v>53.6</v>
      </c>
      <c r="J258">
        <v>90.5</v>
      </c>
      <c r="K258">
        <v>75.25</v>
      </c>
      <c r="L258" t="s">
        <v>28</v>
      </c>
      <c r="M258">
        <v>6</v>
      </c>
      <c r="N258" t="s">
        <v>55</v>
      </c>
      <c r="O258">
        <v>14</v>
      </c>
      <c r="P258">
        <v>13</v>
      </c>
      <c r="Q258">
        <v>51</v>
      </c>
      <c r="R258" t="s">
        <v>30</v>
      </c>
      <c r="S258">
        <v>3</v>
      </c>
      <c r="T258" t="s">
        <v>39</v>
      </c>
      <c r="U258" t="s">
        <v>56</v>
      </c>
      <c r="V258">
        <v>1</v>
      </c>
      <c r="W258">
        <v>0</v>
      </c>
      <c r="X258">
        <v>0</v>
      </c>
      <c r="Y258">
        <v>13</v>
      </c>
      <c r="Z258" t="s">
        <v>37</v>
      </c>
    </row>
    <row r="259" spans="1:26" x14ac:dyDescent="0.3">
      <c r="A259" t="s">
        <v>111</v>
      </c>
      <c r="B259" t="s">
        <v>40</v>
      </c>
      <c r="C259">
        <v>32</v>
      </c>
      <c r="D259">
        <v>16</v>
      </c>
      <c r="E259">
        <v>65.625</v>
      </c>
      <c r="F259" t="b">
        <v>1</v>
      </c>
      <c r="G259">
        <v>58.5</v>
      </c>
      <c r="H259">
        <v>76.599999999999994</v>
      </c>
      <c r="I259">
        <v>45.9</v>
      </c>
      <c r="J259">
        <v>63</v>
      </c>
      <c r="K259">
        <v>61</v>
      </c>
      <c r="L259" t="s">
        <v>28</v>
      </c>
      <c r="M259">
        <v>6</v>
      </c>
      <c r="N259" t="s">
        <v>55</v>
      </c>
      <c r="O259">
        <v>19</v>
      </c>
      <c r="P259">
        <v>11</v>
      </c>
      <c r="Q259">
        <v>65</v>
      </c>
      <c r="R259" t="s">
        <v>30</v>
      </c>
      <c r="S259">
        <v>3</v>
      </c>
      <c r="T259" t="s">
        <v>41</v>
      </c>
      <c r="U259" t="s">
        <v>36</v>
      </c>
      <c r="V259">
        <v>1</v>
      </c>
      <c r="W259">
        <v>0</v>
      </c>
      <c r="X259">
        <v>0</v>
      </c>
      <c r="Y259">
        <v>11</v>
      </c>
      <c r="Z259" t="s">
        <v>37</v>
      </c>
    </row>
    <row r="260" spans="1:26" x14ac:dyDescent="0.3">
      <c r="A260" t="s">
        <v>111</v>
      </c>
      <c r="B260" t="s">
        <v>45</v>
      </c>
      <c r="C260">
        <v>38</v>
      </c>
      <c r="D260">
        <v>21</v>
      </c>
      <c r="E260">
        <v>44.736842105263158</v>
      </c>
      <c r="F260" t="b">
        <v>1</v>
      </c>
      <c r="G260">
        <v>85.9</v>
      </c>
      <c r="H260">
        <v>67.099999999999994</v>
      </c>
      <c r="I260">
        <v>68.5</v>
      </c>
      <c r="J260">
        <v>62.1</v>
      </c>
      <c r="K260">
        <v>70.900000000000006</v>
      </c>
      <c r="L260" t="s">
        <v>28</v>
      </c>
      <c r="M260">
        <v>6</v>
      </c>
      <c r="N260" t="s">
        <v>55</v>
      </c>
      <c r="O260">
        <v>10</v>
      </c>
      <c r="P260">
        <v>11</v>
      </c>
      <c r="Q260">
        <v>34</v>
      </c>
      <c r="R260" t="s">
        <v>46</v>
      </c>
      <c r="S260">
        <v>4</v>
      </c>
      <c r="T260" t="s">
        <v>47</v>
      </c>
      <c r="U260" t="s">
        <v>36</v>
      </c>
      <c r="V260">
        <v>1</v>
      </c>
      <c r="W260">
        <v>0</v>
      </c>
      <c r="X260">
        <v>0</v>
      </c>
      <c r="Y260">
        <v>11</v>
      </c>
      <c r="Z260" t="s">
        <v>37</v>
      </c>
    </row>
    <row r="261" spans="1:26" x14ac:dyDescent="0.3">
      <c r="A261" t="s">
        <v>112</v>
      </c>
      <c r="B261" t="s">
        <v>27</v>
      </c>
      <c r="C261">
        <v>39</v>
      </c>
      <c r="D261">
        <v>17</v>
      </c>
      <c r="E261">
        <v>43.589743589743591</v>
      </c>
      <c r="F261" t="b">
        <v>1</v>
      </c>
      <c r="G261">
        <v>70.900000000000006</v>
      </c>
      <c r="H261">
        <v>68.5</v>
      </c>
      <c r="I261">
        <v>83.7</v>
      </c>
      <c r="J261">
        <v>63.4</v>
      </c>
      <c r="K261">
        <v>71.625</v>
      </c>
      <c r="L261" t="s">
        <v>28</v>
      </c>
      <c r="M261">
        <v>3</v>
      </c>
      <c r="N261" t="s">
        <v>29</v>
      </c>
      <c r="O261">
        <v>30</v>
      </c>
      <c r="P261">
        <v>8</v>
      </c>
      <c r="Q261">
        <v>76</v>
      </c>
      <c r="R261" t="s">
        <v>30</v>
      </c>
      <c r="S261">
        <v>4</v>
      </c>
      <c r="T261" t="s">
        <v>31</v>
      </c>
      <c r="U261" t="s">
        <v>36</v>
      </c>
      <c r="V261">
        <v>1</v>
      </c>
      <c r="W261">
        <v>0</v>
      </c>
      <c r="X261">
        <v>0</v>
      </c>
      <c r="Y261">
        <v>8</v>
      </c>
      <c r="Z261" t="s">
        <v>37</v>
      </c>
    </row>
    <row r="262" spans="1:26" x14ac:dyDescent="0.3">
      <c r="A262" t="s">
        <v>112</v>
      </c>
      <c r="B262" t="s">
        <v>34</v>
      </c>
      <c r="C262">
        <v>34</v>
      </c>
      <c r="D262">
        <v>17</v>
      </c>
      <c r="E262">
        <v>58.82352941176471</v>
      </c>
      <c r="F262" t="b">
        <v>1</v>
      </c>
      <c r="G262">
        <v>35.6</v>
      </c>
      <c r="H262">
        <v>52.7</v>
      </c>
      <c r="I262">
        <v>60.3</v>
      </c>
      <c r="J262">
        <v>66.900000000000006</v>
      </c>
      <c r="K262">
        <v>53.875000000000007</v>
      </c>
      <c r="L262" t="s">
        <v>28</v>
      </c>
      <c r="M262">
        <v>3</v>
      </c>
      <c r="N262" t="s">
        <v>29</v>
      </c>
      <c r="O262">
        <v>20</v>
      </c>
      <c r="P262">
        <v>9</v>
      </c>
      <c r="Q262">
        <v>63</v>
      </c>
      <c r="R262" t="s">
        <v>35</v>
      </c>
      <c r="S262">
        <v>2</v>
      </c>
      <c r="T262" t="s">
        <v>31</v>
      </c>
      <c r="U262" t="s">
        <v>32</v>
      </c>
      <c r="V262">
        <v>1</v>
      </c>
      <c r="W262">
        <v>0</v>
      </c>
      <c r="X262">
        <v>0</v>
      </c>
      <c r="Y262">
        <v>9</v>
      </c>
      <c r="Z262" t="s">
        <v>33</v>
      </c>
    </row>
    <row r="263" spans="1:26" x14ac:dyDescent="0.3">
      <c r="A263" t="s">
        <v>112</v>
      </c>
      <c r="B263" t="s">
        <v>57</v>
      </c>
      <c r="C263">
        <v>33</v>
      </c>
      <c r="D263">
        <v>20</v>
      </c>
      <c r="E263">
        <v>57.575757575757578</v>
      </c>
      <c r="F263" t="b">
        <v>1</v>
      </c>
      <c r="G263">
        <v>45.1</v>
      </c>
      <c r="H263">
        <v>62.6</v>
      </c>
      <c r="I263">
        <v>61.2</v>
      </c>
      <c r="J263">
        <v>54.8</v>
      </c>
      <c r="K263">
        <v>55.924999999999997</v>
      </c>
      <c r="L263" t="s">
        <v>28</v>
      </c>
      <c r="M263">
        <v>3</v>
      </c>
      <c r="N263" t="s">
        <v>29</v>
      </c>
      <c r="O263">
        <v>17</v>
      </c>
      <c r="P263">
        <v>7</v>
      </c>
      <c r="Q263">
        <v>46</v>
      </c>
      <c r="R263" t="s">
        <v>30</v>
      </c>
      <c r="S263">
        <v>4</v>
      </c>
      <c r="T263" t="s">
        <v>58</v>
      </c>
      <c r="U263" t="s">
        <v>32</v>
      </c>
      <c r="V263">
        <v>1</v>
      </c>
      <c r="W263">
        <v>0</v>
      </c>
      <c r="X263">
        <v>0</v>
      </c>
      <c r="Y263">
        <v>7</v>
      </c>
      <c r="Z263" t="s">
        <v>33</v>
      </c>
    </row>
    <row r="264" spans="1:26" x14ac:dyDescent="0.3">
      <c r="A264" t="s">
        <v>112</v>
      </c>
      <c r="B264" t="s">
        <v>42</v>
      </c>
      <c r="C264">
        <v>25</v>
      </c>
      <c r="D264">
        <v>19</v>
      </c>
      <c r="E264">
        <v>64</v>
      </c>
      <c r="F264" t="b">
        <v>1</v>
      </c>
      <c r="G264">
        <v>54.6</v>
      </c>
      <c r="I264">
        <v>57.3</v>
      </c>
      <c r="J264">
        <v>65.400000000000006</v>
      </c>
      <c r="K264">
        <v>59.1</v>
      </c>
      <c r="L264" t="s">
        <v>28</v>
      </c>
      <c r="M264">
        <v>3</v>
      </c>
      <c r="N264" t="s">
        <v>29</v>
      </c>
      <c r="O264">
        <v>12</v>
      </c>
      <c r="P264">
        <v>9</v>
      </c>
      <c r="Q264">
        <v>40</v>
      </c>
      <c r="R264" t="s">
        <v>43</v>
      </c>
      <c r="S264">
        <v>3</v>
      </c>
      <c r="T264" t="s">
        <v>44</v>
      </c>
      <c r="U264" t="s">
        <v>32</v>
      </c>
      <c r="V264">
        <v>1</v>
      </c>
      <c r="W264">
        <v>0</v>
      </c>
      <c r="X264">
        <v>1</v>
      </c>
      <c r="Y264">
        <v>9</v>
      </c>
      <c r="Z264" t="s">
        <v>33</v>
      </c>
    </row>
    <row r="265" spans="1:26" x14ac:dyDescent="0.3">
      <c r="A265" t="s">
        <v>112</v>
      </c>
      <c r="B265" t="s">
        <v>45</v>
      </c>
      <c r="C265">
        <v>39</v>
      </c>
      <c r="D265">
        <v>16</v>
      </c>
      <c r="E265">
        <v>48.717948717948723</v>
      </c>
      <c r="F265" t="b">
        <v>1</v>
      </c>
      <c r="G265">
        <v>41.1</v>
      </c>
      <c r="I265">
        <v>53.7</v>
      </c>
      <c r="J265">
        <v>59.7</v>
      </c>
      <c r="K265">
        <v>51.5</v>
      </c>
      <c r="L265" t="s">
        <v>28</v>
      </c>
      <c r="M265">
        <v>3</v>
      </c>
      <c r="N265" t="s">
        <v>29</v>
      </c>
      <c r="O265">
        <v>19</v>
      </c>
      <c r="P265">
        <v>9</v>
      </c>
      <c r="Q265">
        <v>56</v>
      </c>
      <c r="R265" t="s">
        <v>46</v>
      </c>
      <c r="S265">
        <v>4</v>
      </c>
      <c r="T265" t="s">
        <v>47</v>
      </c>
      <c r="U265" t="s">
        <v>32</v>
      </c>
      <c r="V265">
        <v>1</v>
      </c>
      <c r="W265">
        <v>0</v>
      </c>
      <c r="X265">
        <v>1</v>
      </c>
      <c r="Y265">
        <v>9</v>
      </c>
      <c r="Z265" t="s">
        <v>33</v>
      </c>
    </row>
    <row r="266" spans="1:26" x14ac:dyDescent="0.3">
      <c r="A266" t="s">
        <v>113</v>
      </c>
      <c r="B266" t="s">
        <v>27</v>
      </c>
      <c r="C266">
        <v>29</v>
      </c>
      <c r="D266">
        <v>19</v>
      </c>
      <c r="E266">
        <v>55.172413793103438</v>
      </c>
      <c r="F266" t="b">
        <v>1</v>
      </c>
      <c r="G266">
        <v>33.200000000000003</v>
      </c>
      <c r="H266">
        <v>47.1</v>
      </c>
      <c r="I266">
        <v>49.5</v>
      </c>
      <c r="J266">
        <v>46.7</v>
      </c>
      <c r="K266">
        <v>44.125</v>
      </c>
      <c r="L266" t="s">
        <v>28</v>
      </c>
      <c r="M266">
        <v>3</v>
      </c>
      <c r="N266" t="s">
        <v>29</v>
      </c>
      <c r="O266">
        <v>16</v>
      </c>
      <c r="P266">
        <v>10</v>
      </c>
      <c r="Q266">
        <v>37</v>
      </c>
      <c r="R266" t="s">
        <v>30</v>
      </c>
      <c r="S266">
        <v>4</v>
      </c>
      <c r="T266" t="s">
        <v>31</v>
      </c>
      <c r="U266" t="s">
        <v>32</v>
      </c>
      <c r="V266">
        <v>1</v>
      </c>
      <c r="W266">
        <v>0</v>
      </c>
      <c r="X266">
        <v>0</v>
      </c>
      <c r="Y266">
        <v>10</v>
      </c>
      <c r="Z266" t="s">
        <v>33</v>
      </c>
    </row>
    <row r="267" spans="1:26" x14ac:dyDescent="0.3">
      <c r="A267" t="s">
        <v>113</v>
      </c>
      <c r="B267" t="s">
        <v>51</v>
      </c>
      <c r="C267">
        <v>25</v>
      </c>
      <c r="D267">
        <v>16</v>
      </c>
      <c r="E267">
        <v>52</v>
      </c>
      <c r="F267" t="b">
        <v>1</v>
      </c>
      <c r="G267">
        <v>63.4</v>
      </c>
      <c r="H267">
        <v>67.400000000000006</v>
      </c>
      <c r="I267">
        <v>64.3</v>
      </c>
      <c r="J267">
        <v>58</v>
      </c>
      <c r="K267">
        <v>63.275000000000013</v>
      </c>
      <c r="L267" t="s">
        <v>28</v>
      </c>
      <c r="M267">
        <v>3</v>
      </c>
      <c r="N267" t="s">
        <v>29</v>
      </c>
      <c r="O267">
        <v>18</v>
      </c>
      <c r="P267">
        <v>7</v>
      </c>
      <c r="Q267">
        <v>47</v>
      </c>
      <c r="R267" t="s">
        <v>30</v>
      </c>
      <c r="S267">
        <v>3</v>
      </c>
      <c r="T267" t="s">
        <v>52</v>
      </c>
      <c r="U267" t="s">
        <v>36</v>
      </c>
      <c r="V267">
        <v>1</v>
      </c>
      <c r="W267">
        <v>0</v>
      </c>
      <c r="X267">
        <v>0</v>
      </c>
      <c r="Y267">
        <v>7</v>
      </c>
      <c r="Z267" t="s">
        <v>37</v>
      </c>
    </row>
    <row r="268" spans="1:26" x14ac:dyDescent="0.3">
      <c r="A268" t="s">
        <v>113</v>
      </c>
      <c r="B268" t="s">
        <v>40</v>
      </c>
      <c r="C268">
        <v>37</v>
      </c>
      <c r="D268">
        <v>13</v>
      </c>
      <c r="E268">
        <v>43.243243243243242</v>
      </c>
      <c r="F268" t="b">
        <v>1</v>
      </c>
      <c r="G268">
        <v>70.7</v>
      </c>
      <c r="H268">
        <v>77.2</v>
      </c>
      <c r="J268">
        <v>76.400000000000006</v>
      </c>
      <c r="K268">
        <v>74.766666666666666</v>
      </c>
      <c r="L268" t="s">
        <v>28</v>
      </c>
      <c r="M268">
        <v>3</v>
      </c>
      <c r="N268" t="s">
        <v>29</v>
      </c>
      <c r="O268">
        <v>7</v>
      </c>
      <c r="P268">
        <v>10</v>
      </c>
      <c r="Q268">
        <v>34</v>
      </c>
      <c r="R268" t="s">
        <v>30</v>
      </c>
      <c r="S268">
        <v>3</v>
      </c>
      <c r="T268" t="s">
        <v>41</v>
      </c>
      <c r="U268" t="s">
        <v>36</v>
      </c>
      <c r="V268">
        <v>1</v>
      </c>
      <c r="W268">
        <v>0</v>
      </c>
      <c r="X268">
        <v>1</v>
      </c>
      <c r="Y268">
        <v>10</v>
      </c>
      <c r="Z268" t="s">
        <v>37</v>
      </c>
    </row>
    <row r="269" spans="1:26" x14ac:dyDescent="0.3">
      <c r="A269" t="s">
        <v>113</v>
      </c>
      <c r="B269" t="s">
        <v>57</v>
      </c>
      <c r="C269">
        <v>29</v>
      </c>
      <c r="D269">
        <v>16</v>
      </c>
      <c r="E269">
        <v>68.965517241379317</v>
      </c>
      <c r="F269" t="b">
        <v>1</v>
      </c>
      <c r="G269">
        <v>47.1</v>
      </c>
      <c r="H269">
        <v>49</v>
      </c>
      <c r="I269">
        <v>47</v>
      </c>
      <c r="J269">
        <v>71.099999999999994</v>
      </c>
      <c r="K269">
        <v>53.55</v>
      </c>
      <c r="L269" t="s">
        <v>28</v>
      </c>
      <c r="M269">
        <v>3</v>
      </c>
      <c r="N269" t="s">
        <v>29</v>
      </c>
      <c r="O269">
        <v>21</v>
      </c>
      <c r="P269">
        <v>6</v>
      </c>
      <c r="Q269">
        <v>49</v>
      </c>
      <c r="R269" t="s">
        <v>30</v>
      </c>
      <c r="S269">
        <v>4</v>
      </c>
      <c r="T269" t="s">
        <v>58</v>
      </c>
      <c r="U269" t="s">
        <v>32</v>
      </c>
      <c r="V269">
        <v>1</v>
      </c>
      <c r="W269">
        <v>0</v>
      </c>
      <c r="X269">
        <v>0</v>
      </c>
      <c r="Y269">
        <v>6</v>
      </c>
      <c r="Z269" t="s">
        <v>33</v>
      </c>
    </row>
    <row r="270" spans="1:26" x14ac:dyDescent="0.3">
      <c r="A270" t="s">
        <v>114</v>
      </c>
      <c r="B270" t="s">
        <v>34</v>
      </c>
      <c r="C270">
        <v>34</v>
      </c>
      <c r="D270">
        <v>20</v>
      </c>
      <c r="E270">
        <v>64.705882352941174</v>
      </c>
      <c r="F270" t="b">
        <v>1</v>
      </c>
      <c r="G270">
        <v>31.9</v>
      </c>
      <c r="H270">
        <v>61.6</v>
      </c>
      <c r="I270">
        <v>43.7</v>
      </c>
      <c r="J270">
        <v>52.8</v>
      </c>
      <c r="K270">
        <v>47.5</v>
      </c>
      <c r="L270" t="s">
        <v>49</v>
      </c>
      <c r="M270">
        <v>4</v>
      </c>
      <c r="N270" t="s">
        <v>29</v>
      </c>
      <c r="O270">
        <v>17</v>
      </c>
      <c r="P270">
        <v>10</v>
      </c>
      <c r="Q270">
        <v>38</v>
      </c>
      <c r="R270" t="s">
        <v>35</v>
      </c>
      <c r="S270">
        <v>2</v>
      </c>
      <c r="T270" t="s">
        <v>31</v>
      </c>
      <c r="U270" t="s">
        <v>32</v>
      </c>
      <c r="V270">
        <v>1</v>
      </c>
      <c r="W270">
        <v>0</v>
      </c>
      <c r="X270">
        <v>0</v>
      </c>
      <c r="Y270">
        <v>10</v>
      </c>
      <c r="Z270" t="s">
        <v>33</v>
      </c>
    </row>
    <row r="271" spans="1:26" x14ac:dyDescent="0.3">
      <c r="A271" t="s">
        <v>114</v>
      </c>
      <c r="B271" t="s">
        <v>38</v>
      </c>
      <c r="C271">
        <v>24</v>
      </c>
      <c r="D271">
        <v>22</v>
      </c>
      <c r="E271">
        <v>70.833333333333343</v>
      </c>
      <c r="F271" t="b">
        <v>1</v>
      </c>
      <c r="G271">
        <v>69.400000000000006</v>
      </c>
      <c r="H271">
        <v>66.900000000000006</v>
      </c>
      <c r="I271">
        <v>36.799999999999997</v>
      </c>
      <c r="J271">
        <v>75.099999999999994</v>
      </c>
      <c r="K271">
        <v>62.05</v>
      </c>
      <c r="L271" t="s">
        <v>49</v>
      </c>
      <c r="M271">
        <v>4</v>
      </c>
      <c r="N271" t="s">
        <v>29</v>
      </c>
      <c r="O271">
        <v>29</v>
      </c>
      <c r="P271">
        <v>11</v>
      </c>
      <c r="Q271">
        <v>85</v>
      </c>
      <c r="R271" t="s">
        <v>30</v>
      </c>
      <c r="S271">
        <v>3</v>
      </c>
      <c r="T271" t="s">
        <v>39</v>
      </c>
      <c r="U271" t="s">
        <v>36</v>
      </c>
      <c r="V271">
        <v>1</v>
      </c>
      <c r="W271">
        <v>0</v>
      </c>
      <c r="X271">
        <v>0</v>
      </c>
      <c r="Y271">
        <v>11</v>
      </c>
      <c r="Z271" t="s">
        <v>37</v>
      </c>
    </row>
    <row r="272" spans="1:26" x14ac:dyDescent="0.3">
      <c r="A272" t="s">
        <v>114</v>
      </c>
      <c r="B272" t="s">
        <v>42</v>
      </c>
      <c r="C272">
        <v>27</v>
      </c>
      <c r="D272">
        <v>17</v>
      </c>
      <c r="E272">
        <v>81.481481481481481</v>
      </c>
      <c r="F272" t="b">
        <v>1</v>
      </c>
      <c r="G272">
        <v>67.400000000000006</v>
      </c>
      <c r="H272">
        <v>57.1</v>
      </c>
      <c r="I272">
        <v>62.6</v>
      </c>
      <c r="J272">
        <v>73.8</v>
      </c>
      <c r="K272">
        <v>65.224999999999994</v>
      </c>
      <c r="L272" t="s">
        <v>49</v>
      </c>
      <c r="M272">
        <v>4</v>
      </c>
      <c r="N272" t="s">
        <v>29</v>
      </c>
      <c r="O272">
        <v>23</v>
      </c>
      <c r="P272">
        <v>10</v>
      </c>
      <c r="Q272">
        <v>51</v>
      </c>
      <c r="R272" t="s">
        <v>43</v>
      </c>
      <c r="S272">
        <v>3</v>
      </c>
      <c r="T272" t="s">
        <v>44</v>
      </c>
      <c r="U272" t="s">
        <v>36</v>
      </c>
      <c r="V272">
        <v>0</v>
      </c>
      <c r="W272">
        <v>0</v>
      </c>
      <c r="X272">
        <v>0</v>
      </c>
      <c r="Y272">
        <v>10</v>
      </c>
      <c r="Z272" t="s">
        <v>37</v>
      </c>
    </row>
    <row r="273" spans="1:26" x14ac:dyDescent="0.3">
      <c r="A273" t="s">
        <v>114</v>
      </c>
      <c r="B273" t="s">
        <v>45</v>
      </c>
      <c r="C273">
        <v>32</v>
      </c>
      <c r="D273">
        <v>22</v>
      </c>
      <c r="E273">
        <v>59.375</v>
      </c>
      <c r="F273" t="b">
        <v>1</v>
      </c>
      <c r="G273">
        <v>73</v>
      </c>
      <c r="H273">
        <v>69.400000000000006</v>
      </c>
      <c r="I273">
        <v>72.599999999999994</v>
      </c>
      <c r="J273">
        <v>77.7</v>
      </c>
      <c r="K273">
        <v>73.174999999999997</v>
      </c>
      <c r="L273" t="s">
        <v>49</v>
      </c>
      <c r="M273">
        <v>4</v>
      </c>
      <c r="N273" t="s">
        <v>29</v>
      </c>
      <c r="O273">
        <v>22</v>
      </c>
      <c r="P273">
        <v>8</v>
      </c>
      <c r="Q273">
        <v>60</v>
      </c>
      <c r="R273" t="s">
        <v>46</v>
      </c>
      <c r="S273">
        <v>4</v>
      </c>
      <c r="T273" t="s">
        <v>47</v>
      </c>
      <c r="U273" t="s">
        <v>36</v>
      </c>
      <c r="V273">
        <v>1</v>
      </c>
      <c r="W273">
        <v>0</v>
      </c>
      <c r="X273">
        <v>0</v>
      </c>
      <c r="Y273">
        <v>8</v>
      </c>
      <c r="Z273" t="s">
        <v>37</v>
      </c>
    </row>
    <row r="274" spans="1:26" x14ac:dyDescent="0.3">
      <c r="A274" t="s">
        <v>115</v>
      </c>
      <c r="B274" t="s">
        <v>27</v>
      </c>
      <c r="C274">
        <v>28</v>
      </c>
      <c r="D274">
        <v>19</v>
      </c>
      <c r="E274">
        <v>64.285714285714292</v>
      </c>
      <c r="F274" t="b">
        <v>1</v>
      </c>
      <c r="G274">
        <v>48.5</v>
      </c>
      <c r="H274">
        <v>86.1</v>
      </c>
      <c r="I274">
        <v>75.099999999999994</v>
      </c>
      <c r="J274">
        <v>81.099999999999994</v>
      </c>
      <c r="K274">
        <v>72.699999999999989</v>
      </c>
      <c r="L274" t="s">
        <v>49</v>
      </c>
      <c r="M274">
        <v>6</v>
      </c>
      <c r="N274" t="s">
        <v>29</v>
      </c>
      <c r="O274">
        <v>24</v>
      </c>
      <c r="P274">
        <v>9</v>
      </c>
      <c r="Q274">
        <v>62</v>
      </c>
      <c r="R274" t="s">
        <v>30</v>
      </c>
      <c r="S274">
        <v>4</v>
      </c>
      <c r="T274" t="s">
        <v>31</v>
      </c>
      <c r="U274" t="s">
        <v>36</v>
      </c>
      <c r="V274">
        <v>1</v>
      </c>
      <c r="W274">
        <v>0</v>
      </c>
      <c r="X274">
        <v>0</v>
      </c>
      <c r="Y274">
        <v>9</v>
      </c>
      <c r="Z274" t="s">
        <v>37</v>
      </c>
    </row>
    <row r="275" spans="1:26" x14ac:dyDescent="0.3">
      <c r="A275" t="s">
        <v>115</v>
      </c>
      <c r="B275" t="s">
        <v>34</v>
      </c>
      <c r="C275">
        <v>39</v>
      </c>
      <c r="D275">
        <v>18</v>
      </c>
      <c r="E275">
        <v>43.589743589743591</v>
      </c>
      <c r="F275" t="b">
        <v>1</v>
      </c>
      <c r="G275">
        <v>85.4</v>
      </c>
      <c r="H275">
        <v>57.7</v>
      </c>
      <c r="J275">
        <v>77.2</v>
      </c>
      <c r="K275">
        <v>73.433333333333337</v>
      </c>
      <c r="L275" t="s">
        <v>49</v>
      </c>
      <c r="M275">
        <v>6</v>
      </c>
      <c r="N275" t="s">
        <v>29</v>
      </c>
      <c r="O275">
        <v>26</v>
      </c>
      <c r="P275">
        <v>11</v>
      </c>
      <c r="Q275">
        <v>62</v>
      </c>
      <c r="R275" t="s">
        <v>35</v>
      </c>
      <c r="S275">
        <v>2</v>
      </c>
      <c r="T275" t="s">
        <v>31</v>
      </c>
      <c r="U275" t="s">
        <v>36</v>
      </c>
      <c r="V275">
        <v>1</v>
      </c>
      <c r="W275">
        <v>0</v>
      </c>
      <c r="X275">
        <v>1</v>
      </c>
      <c r="Y275">
        <v>11</v>
      </c>
      <c r="Z275" t="s">
        <v>37</v>
      </c>
    </row>
    <row r="276" spans="1:26" x14ac:dyDescent="0.3">
      <c r="A276" t="s">
        <v>115</v>
      </c>
      <c r="B276" t="s">
        <v>57</v>
      </c>
      <c r="C276">
        <v>32</v>
      </c>
      <c r="D276">
        <v>17</v>
      </c>
      <c r="E276">
        <v>71.875</v>
      </c>
      <c r="F276" t="b">
        <v>1</v>
      </c>
      <c r="I276">
        <v>69.5</v>
      </c>
      <c r="J276">
        <v>84.2</v>
      </c>
      <c r="K276">
        <v>76.849999999999994</v>
      </c>
      <c r="L276" t="s">
        <v>49</v>
      </c>
      <c r="M276">
        <v>6</v>
      </c>
      <c r="N276" t="s">
        <v>29</v>
      </c>
      <c r="O276">
        <v>14</v>
      </c>
      <c r="P276">
        <v>10</v>
      </c>
      <c r="Q276">
        <v>60</v>
      </c>
      <c r="R276" t="s">
        <v>30</v>
      </c>
      <c r="S276">
        <v>4</v>
      </c>
      <c r="T276" t="s">
        <v>58</v>
      </c>
      <c r="U276" t="s">
        <v>56</v>
      </c>
      <c r="V276">
        <v>1</v>
      </c>
      <c r="W276">
        <v>0</v>
      </c>
      <c r="X276">
        <v>2</v>
      </c>
      <c r="Y276">
        <v>10</v>
      </c>
      <c r="Z276" t="s">
        <v>37</v>
      </c>
    </row>
    <row r="277" spans="1:26" x14ac:dyDescent="0.3">
      <c r="A277" t="s">
        <v>115</v>
      </c>
      <c r="B277" t="s">
        <v>42</v>
      </c>
      <c r="C277">
        <v>31</v>
      </c>
      <c r="D277">
        <v>23</v>
      </c>
      <c r="E277">
        <v>74.193548387096769</v>
      </c>
      <c r="F277" t="b">
        <v>1</v>
      </c>
      <c r="G277">
        <v>59.1</v>
      </c>
      <c r="H277">
        <v>89</v>
      </c>
      <c r="I277">
        <v>75.900000000000006</v>
      </c>
      <c r="J277">
        <v>92.6</v>
      </c>
      <c r="K277">
        <v>79.150000000000006</v>
      </c>
      <c r="L277" t="s">
        <v>49</v>
      </c>
      <c r="M277">
        <v>6</v>
      </c>
      <c r="N277" t="s">
        <v>29</v>
      </c>
      <c r="O277">
        <v>19</v>
      </c>
      <c r="P277">
        <v>7</v>
      </c>
      <c r="Q277">
        <v>63</v>
      </c>
      <c r="R277" t="s">
        <v>43</v>
      </c>
      <c r="S277">
        <v>3</v>
      </c>
      <c r="T277" t="s">
        <v>44</v>
      </c>
      <c r="U277" t="s">
        <v>56</v>
      </c>
      <c r="V277">
        <v>1</v>
      </c>
      <c r="W277">
        <v>0</v>
      </c>
      <c r="X277">
        <v>0</v>
      </c>
      <c r="Y277">
        <v>7</v>
      </c>
      <c r="Z277" t="s">
        <v>37</v>
      </c>
    </row>
    <row r="278" spans="1:26" x14ac:dyDescent="0.3">
      <c r="A278" t="s">
        <v>116</v>
      </c>
      <c r="B278" t="s">
        <v>27</v>
      </c>
      <c r="C278">
        <v>30</v>
      </c>
      <c r="D278">
        <v>23</v>
      </c>
      <c r="E278">
        <v>63.333333333333329</v>
      </c>
      <c r="F278" t="b">
        <v>1</v>
      </c>
      <c r="G278">
        <v>89.3</v>
      </c>
      <c r="H278">
        <v>100</v>
      </c>
      <c r="I278">
        <v>93.9</v>
      </c>
      <c r="J278">
        <v>98.5</v>
      </c>
      <c r="K278">
        <v>95.424999999999997</v>
      </c>
      <c r="L278" t="s">
        <v>61</v>
      </c>
      <c r="M278">
        <v>6</v>
      </c>
      <c r="N278" t="s">
        <v>50</v>
      </c>
      <c r="O278">
        <v>34</v>
      </c>
      <c r="P278">
        <v>11</v>
      </c>
      <c r="Q278">
        <v>86</v>
      </c>
      <c r="R278" t="s">
        <v>30</v>
      </c>
      <c r="S278">
        <v>4</v>
      </c>
      <c r="T278" t="s">
        <v>31</v>
      </c>
      <c r="U278" t="s">
        <v>56</v>
      </c>
      <c r="V278">
        <v>1</v>
      </c>
      <c r="W278">
        <v>0</v>
      </c>
      <c r="X278">
        <v>0</v>
      </c>
      <c r="Y278">
        <v>11</v>
      </c>
      <c r="Z278" t="s">
        <v>37</v>
      </c>
    </row>
    <row r="279" spans="1:26" x14ac:dyDescent="0.3">
      <c r="A279" t="s">
        <v>116</v>
      </c>
      <c r="B279" t="s">
        <v>51</v>
      </c>
      <c r="C279">
        <v>29</v>
      </c>
      <c r="D279">
        <v>19</v>
      </c>
      <c r="E279">
        <v>65.517241379310349</v>
      </c>
      <c r="F279" t="b">
        <v>1</v>
      </c>
      <c r="G279">
        <v>74.2</v>
      </c>
      <c r="H279">
        <v>84.6</v>
      </c>
      <c r="I279">
        <v>67.900000000000006</v>
      </c>
      <c r="J279">
        <v>88.8</v>
      </c>
      <c r="K279">
        <v>78.875</v>
      </c>
      <c r="L279" t="s">
        <v>61</v>
      </c>
      <c r="M279">
        <v>6</v>
      </c>
      <c r="N279" t="s">
        <v>50</v>
      </c>
      <c r="O279">
        <v>16</v>
      </c>
      <c r="P279">
        <v>11</v>
      </c>
      <c r="Q279">
        <v>53</v>
      </c>
      <c r="R279" t="s">
        <v>30</v>
      </c>
      <c r="S279">
        <v>3</v>
      </c>
      <c r="T279" t="s">
        <v>52</v>
      </c>
      <c r="U279" t="s">
        <v>56</v>
      </c>
      <c r="V279">
        <v>1</v>
      </c>
      <c r="W279">
        <v>0</v>
      </c>
      <c r="X279">
        <v>0</v>
      </c>
      <c r="Y279">
        <v>11</v>
      </c>
      <c r="Z279" t="s">
        <v>37</v>
      </c>
    </row>
    <row r="280" spans="1:26" x14ac:dyDescent="0.3">
      <c r="A280" t="s">
        <v>116</v>
      </c>
      <c r="B280" t="s">
        <v>57</v>
      </c>
      <c r="C280">
        <v>32</v>
      </c>
      <c r="D280">
        <v>19</v>
      </c>
      <c r="E280">
        <v>78.125</v>
      </c>
      <c r="F280" t="b">
        <v>1</v>
      </c>
      <c r="G280">
        <v>71.599999999999994</v>
      </c>
      <c r="H280">
        <v>76.900000000000006</v>
      </c>
      <c r="I280">
        <v>84</v>
      </c>
      <c r="J280">
        <v>82.3</v>
      </c>
      <c r="K280">
        <v>78.7</v>
      </c>
      <c r="L280" t="s">
        <v>61</v>
      </c>
      <c r="M280">
        <v>6</v>
      </c>
      <c r="N280" t="s">
        <v>50</v>
      </c>
      <c r="O280">
        <v>21</v>
      </c>
      <c r="P280">
        <v>12</v>
      </c>
      <c r="Q280">
        <v>66</v>
      </c>
      <c r="R280" t="s">
        <v>30</v>
      </c>
      <c r="S280">
        <v>4</v>
      </c>
      <c r="T280" t="s">
        <v>58</v>
      </c>
      <c r="U280" t="s">
        <v>56</v>
      </c>
      <c r="V280">
        <v>0</v>
      </c>
      <c r="W280">
        <v>0</v>
      </c>
      <c r="X280">
        <v>0</v>
      </c>
      <c r="Y280">
        <v>12</v>
      </c>
      <c r="Z280" t="s">
        <v>37</v>
      </c>
    </row>
    <row r="281" spans="1:26" x14ac:dyDescent="0.3">
      <c r="A281" t="s">
        <v>116</v>
      </c>
      <c r="B281" t="s">
        <v>45</v>
      </c>
      <c r="C281">
        <v>35</v>
      </c>
      <c r="D281">
        <v>25</v>
      </c>
      <c r="E281">
        <v>60</v>
      </c>
      <c r="F281" t="b">
        <v>1</v>
      </c>
      <c r="G281">
        <v>96.9</v>
      </c>
      <c r="H281">
        <v>76.599999999999994</v>
      </c>
      <c r="I281">
        <v>81.3</v>
      </c>
      <c r="J281">
        <v>96.1</v>
      </c>
      <c r="K281">
        <v>87.724999999999994</v>
      </c>
      <c r="L281" t="s">
        <v>61</v>
      </c>
      <c r="M281">
        <v>6</v>
      </c>
      <c r="N281" t="s">
        <v>50</v>
      </c>
      <c r="O281">
        <v>22</v>
      </c>
      <c r="P281">
        <v>12</v>
      </c>
      <c r="Q281">
        <v>62</v>
      </c>
      <c r="R281" t="s">
        <v>46</v>
      </c>
      <c r="S281">
        <v>4</v>
      </c>
      <c r="T281" t="s">
        <v>47</v>
      </c>
      <c r="U281" t="s">
        <v>56</v>
      </c>
      <c r="V281">
        <v>1</v>
      </c>
      <c r="W281">
        <v>0</v>
      </c>
      <c r="X281">
        <v>0</v>
      </c>
      <c r="Y281">
        <v>12</v>
      </c>
      <c r="Z281" t="s">
        <v>37</v>
      </c>
    </row>
    <row r="282" spans="1:26" x14ac:dyDescent="0.3">
      <c r="A282" t="s">
        <v>117</v>
      </c>
      <c r="B282" t="s">
        <v>27</v>
      </c>
      <c r="C282">
        <v>25</v>
      </c>
      <c r="D282">
        <v>21</v>
      </c>
      <c r="E282">
        <v>76</v>
      </c>
      <c r="F282" t="b">
        <v>1</v>
      </c>
      <c r="G282">
        <v>90.4</v>
      </c>
      <c r="H282">
        <v>71.400000000000006</v>
      </c>
      <c r="I282">
        <v>75.8</v>
      </c>
      <c r="J282">
        <v>90.4</v>
      </c>
      <c r="K282">
        <v>82</v>
      </c>
      <c r="L282" t="s">
        <v>61</v>
      </c>
      <c r="M282">
        <v>5</v>
      </c>
      <c r="N282" t="s">
        <v>50</v>
      </c>
      <c r="O282">
        <v>20</v>
      </c>
      <c r="P282">
        <v>10</v>
      </c>
      <c r="Q282">
        <v>48</v>
      </c>
      <c r="R282" t="s">
        <v>30</v>
      </c>
      <c r="S282">
        <v>4</v>
      </c>
      <c r="T282" t="s">
        <v>31</v>
      </c>
      <c r="U282" t="s">
        <v>56</v>
      </c>
      <c r="V282">
        <v>0</v>
      </c>
      <c r="W282">
        <v>0</v>
      </c>
      <c r="X282">
        <v>0</v>
      </c>
      <c r="Y282">
        <v>10</v>
      </c>
      <c r="Z282" t="s">
        <v>37</v>
      </c>
    </row>
    <row r="283" spans="1:26" x14ac:dyDescent="0.3">
      <c r="A283" t="s">
        <v>117</v>
      </c>
      <c r="B283" t="s">
        <v>34</v>
      </c>
      <c r="C283">
        <v>31</v>
      </c>
      <c r="D283">
        <v>19</v>
      </c>
      <c r="E283">
        <v>64.516129032258064</v>
      </c>
      <c r="F283" t="b">
        <v>1</v>
      </c>
      <c r="G283">
        <v>63.9</v>
      </c>
      <c r="H283">
        <v>57</v>
      </c>
      <c r="I283">
        <v>66.099999999999994</v>
      </c>
      <c r="J283">
        <v>56.8</v>
      </c>
      <c r="K283">
        <v>60.95</v>
      </c>
      <c r="L283" t="s">
        <v>61</v>
      </c>
      <c r="M283">
        <v>5</v>
      </c>
      <c r="N283" t="s">
        <v>50</v>
      </c>
      <c r="O283">
        <v>18</v>
      </c>
      <c r="P283">
        <v>9</v>
      </c>
      <c r="Q283">
        <v>55</v>
      </c>
      <c r="R283" t="s">
        <v>35</v>
      </c>
      <c r="S283">
        <v>2</v>
      </c>
      <c r="T283" t="s">
        <v>31</v>
      </c>
      <c r="U283" t="s">
        <v>36</v>
      </c>
      <c r="V283">
        <v>1</v>
      </c>
      <c r="W283">
        <v>0</v>
      </c>
      <c r="X283">
        <v>0</v>
      </c>
      <c r="Y283">
        <v>9</v>
      </c>
      <c r="Z283" t="s">
        <v>37</v>
      </c>
    </row>
    <row r="284" spans="1:26" x14ac:dyDescent="0.3">
      <c r="A284" t="s">
        <v>117</v>
      </c>
      <c r="B284" t="s">
        <v>40</v>
      </c>
      <c r="C284">
        <v>37</v>
      </c>
      <c r="D284">
        <v>20</v>
      </c>
      <c r="E284">
        <v>67.567567567567565</v>
      </c>
      <c r="F284" t="b">
        <v>1</v>
      </c>
      <c r="G284">
        <v>84.6</v>
      </c>
      <c r="H284">
        <v>71.7</v>
      </c>
      <c r="I284">
        <v>67.900000000000006</v>
      </c>
      <c r="J284">
        <v>57.4</v>
      </c>
      <c r="K284">
        <v>70.400000000000006</v>
      </c>
      <c r="L284" t="s">
        <v>61</v>
      </c>
      <c r="M284">
        <v>5</v>
      </c>
      <c r="N284" t="s">
        <v>50</v>
      </c>
      <c r="O284">
        <v>15</v>
      </c>
      <c r="P284">
        <v>8</v>
      </c>
      <c r="Q284">
        <v>38</v>
      </c>
      <c r="R284" t="s">
        <v>30</v>
      </c>
      <c r="S284">
        <v>3</v>
      </c>
      <c r="T284" t="s">
        <v>41</v>
      </c>
      <c r="U284" t="s">
        <v>36</v>
      </c>
      <c r="V284">
        <v>1</v>
      </c>
      <c r="W284">
        <v>0</v>
      </c>
      <c r="X284">
        <v>0</v>
      </c>
      <c r="Y284">
        <v>8</v>
      </c>
      <c r="Z284" t="s">
        <v>37</v>
      </c>
    </row>
    <row r="285" spans="1:26" x14ac:dyDescent="0.3">
      <c r="A285" t="s">
        <v>117</v>
      </c>
      <c r="B285" t="s">
        <v>42</v>
      </c>
      <c r="C285">
        <v>28</v>
      </c>
      <c r="D285">
        <v>25</v>
      </c>
      <c r="E285">
        <v>64.285714285714292</v>
      </c>
      <c r="F285" t="b">
        <v>1</v>
      </c>
      <c r="G285">
        <v>58.4</v>
      </c>
      <c r="H285">
        <v>68.7</v>
      </c>
      <c r="I285">
        <v>57.2</v>
      </c>
      <c r="J285">
        <v>68</v>
      </c>
      <c r="K285">
        <v>63.075000000000003</v>
      </c>
      <c r="L285" t="s">
        <v>61</v>
      </c>
      <c r="M285">
        <v>5</v>
      </c>
      <c r="N285" t="s">
        <v>50</v>
      </c>
      <c r="O285">
        <v>21</v>
      </c>
      <c r="P285">
        <v>7</v>
      </c>
      <c r="Q285">
        <v>43</v>
      </c>
      <c r="R285" t="s">
        <v>43</v>
      </c>
      <c r="S285">
        <v>3</v>
      </c>
      <c r="T285" t="s">
        <v>44</v>
      </c>
      <c r="U285" t="s">
        <v>36</v>
      </c>
      <c r="V285">
        <v>1</v>
      </c>
      <c r="W285">
        <v>0</v>
      </c>
      <c r="X285">
        <v>0</v>
      </c>
      <c r="Y285">
        <v>7</v>
      </c>
      <c r="Z285" t="s">
        <v>37</v>
      </c>
    </row>
    <row r="286" spans="1:26" x14ac:dyDescent="0.3">
      <c r="A286" t="s">
        <v>118</v>
      </c>
      <c r="B286" t="s">
        <v>51</v>
      </c>
      <c r="C286">
        <v>28</v>
      </c>
      <c r="D286">
        <v>18</v>
      </c>
      <c r="E286">
        <v>78.571428571428569</v>
      </c>
      <c r="F286" t="b">
        <v>1</v>
      </c>
      <c r="G286">
        <v>44.1</v>
      </c>
      <c r="H286">
        <v>71.099999999999994</v>
      </c>
      <c r="I286">
        <v>80.400000000000006</v>
      </c>
      <c r="J286">
        <v>70.5</v>
      </c>
      <c r="K286">
        <v>66.525000000000006</v>
      </c>
      <c r="L286" t="s">
        <v>28</v>
      </c>
      <c r="M286">
        <v>6</v>
      </c>
      <c r="N286" t="s">
        <v>50</v>
      </c>
      <c r="O286">
        <v>19</v>
      </c>
      <c r="P286">
        <v>4</v>
      </c>
      <c r="Q286">
        <v>36</v>
      </c>
      <c r="R286" t="s">
        <v>30</v>
      </c>
      <c r="S286">
        <v>3</v>
      </c>
      <c r="T286" t="s">
        <v>52</v>
      </c>
      <c r="U286" t="s">
        <v>36</v>
      </c>
      <c r="V286">
        <v>0</v>
      </c>
      <c r="W286">
        <v>0</v>
      </c>
      <c r="X286">
        <v>0</v>
      </c>
      <c r="Y286">
        <v>4</v>
      </c>
      <c r="Z286" t="s">
        <v>37</v>
      </c>
    </row>
    <row r="287" spans="1:26" x14ac:dyDescent="0.3">
      <c r="A287" t="s">
        <v>118</v>
      </c>
      <c r="B287" t="s">
        <v>34</v>
      </c>
      <c r="C287">
        <v>32</v>
      </c>
      <c r="D287">
        <v>22</v>
      </c>
      <c r="E287">
        <v>62.5</v>
      </c>
      <c r="F287" t="b">
        <v>1</v>
      </c>
      <c r="G287">
        <v>68.5</v>
      </c>
      <c r="H287">
        <v>68.7</v>
      </c>
      <c r="I287">
        <v>45.1</v>
      </c>
      <c r="J287">
        <v>71.2</v>
      </c>
      <c r="K287">
        <v>63.375</v>
      </c>
      <c r="L287" t="s">
        <v>28</v>
      </c>
      <c r="M287">
        <v>6</v>
      </c>
      <c r="N287" t="s">
        <v>50</v>
      </c>
      <c r="O287">
        <v>12</v>
      </c>
      <c r="P287">
        <v>5</v>
      </c>
      <c r="Q287">
        <v>34</v>
      </c>
      <c r="R287" t="s">
        <v>35</v>
      </c>
      <c r="S287">
        <v>2</v>
      </c>
      <c r="T287" t="s">
        <v>31</v>
      </c>
      <c r="U287" t="s">
        <v>36</v>
      </c>
      <c r="V287">
        <v>1</v>
      </c>
      <c r="W287">
        <v>0</v>
      </c>
      <c r="X287">
        <v>0</v>
      </c>
      <c r="Y287">
        <v>5</v>
      </c>
      <c r="Z287" t="s">
        <v>37</v>
      </c>
    </row>
    <row r="288" spans="1:26" x14ac:dyDescent="0.3">
      <c r="A288" t="s">
        <v>118</v>
      </c>
      <c r="B288" t="s">
        <v>40</v>
      </c>
      <c r="C288">
        <v>33</v>
      </c>
      <c r="D288">
        <v>20</v>
      </c>
      <c r="E288">
        <v>63.636363636363633</v>
      </c>
      <c r="F288" t="b">
        <v>1</v>
      </c>
      <c r="G288">
        <v>71.099999999999994</v>
      </c>
      <c r="H288">
        <v>65.8</v>
      </c>
      <c r="I288">
        <v>48.1</v>
      </c>
      <c r="J288">
        <v>68.099999999999994</v>
      </c>
      <c r="K288">
        <v>63.274999999999991</v>
      </c>
      <c r="L288" t="s">
        <v>28</v>
      </c>
      <c r="M288">
        <v>6</v>
      </c>
      <c r="N288" t="s">
        <v>50</v>
      </c>
      <c r="O288">
        <v>19</v>
      </c>
      <c r="P288">
        <v>10</v>
      </c>
      <c r="Q288">
        <v>71</v>
      </c>
      <c r="R288" t="s">
        <v>30</v>
      </c>
      <c r="S288">
        <v>3</v>
      </c>
      <c r="T288" t="s">
        <v>41</v>
      </c>
      <c r="U288" t="s">
        <v>36</v>
      </c>
      <c r="V288">
        <v>1</v>
      </c>
      <c r="W288">
        <v>0</v>
      </c>
      <c r="X288">
        <v>0</v>
      </c>
      <c r="Y288">
        <v>10</v>
      </c>
      <c r="Z288" t="s">
        <v>37</v>
      </c>
    </row>
    <row r="289" spans="1:26" x14ac:dyDescent="0.3">
      <c r="A289" t="s">
        <v>118</v>
      </c>
      <c r="B289" t="s">
        <v>42</v>
      </c>
      <c r="C289">
        <v>37</v>
      </c>
      <c r="D289">
        <v>21</v>
      </c>
      <c r="E289">
        <v>51.351351351351347</v>
      </c>
      <c r="F289" t="b">
        <v>1</v>
      </c>
      <c r="G289">
        <v>76.8</v>
      </c>
      <c r="H289">
        <v>65.5</v>
      </c>
      <c r="I289">
        <v>63.9</v>
      </c>
      <c r="J289">
        <v>59.8</v>
      </c>
      <c r="K289">
        <v>66.5</v>
      </c>
      <c r="L289" t="s">
        <v>28</v>
      </c>
      <c r="M289">
        <v>6</v>
      </c>
      <c r="N289" t="s">
        <v>50</v>
      </c>
      <c r="O289">
        <v>14</v>
      </c>
      <c r="P289">
        <v>10</v>
      </c>
      <c r="Q289">
        <v>53</v>
      </c>
      <c r="R289" t="s">
        <v>43</v>
      </c>
      <c r="S289">
        <v>3</v>
      </c>
      <c r="T289" t="s">
        <v>44</v>
      </c>
      <c r="U289" t="s">
        <v>36</v>
      </c>
      <c r="V289">
        <v>1</v>
      </c>
      <c r="W289">
        <v>0</v>
      </c>
      <c r="X289">
        <v>0</v>
      </c>
      <c r="Y289">
        <v>10</v>
      </c>
      <c r="Z289" t="s">
        <v>37</v>
      </c>
    </row>
    <row r="290" spans="1:26" x14ac:dyDescent="0.3">
      <c r="A290" t="s">
        <v>119</v>
      </c>
      <c r="B290" t="s">
        <v>51</v>
      </c>
      <c r="C290">
        <v>38</v>
      </c>
      <c r="D290">
        <v>19</v>
      </c>
      <c r="E290">
        <v>65.789473684210535</v>
      </c>
      <c r="F290" t="b">
        <v>1</v>
      </c>
      <c r="G290">
        <v>72.900000000000006</v>
      </c>
      <c r="H290">
        <v>76.7</v>
      </c>
      <c r="I290">
        <v>85.7</v>
      </c>
      <c r="J290">
        <v>71</v>
      </c>
      <c r="K290">
        <v>76.575000000000003</v>
      </c>
      <c r="L290" t="s">
        <v>49</v>
      </c>
      <c r="M290">
        <v>6</v>
      </c>
      <c r="N290" t="s">
        <v>55</v>
      </c>
      <c r="O290">
        <v>32</v>
      </c>
      <c r="P290">
        <v>10</v>
      </c>
      <c r="Q290">
        <v>81</v>
      </c>
      <c r="R290" t="s">
        <v>30</v>
      </c>
      <c r="S290">
        <v>3</v>
      </c>
      <c r="T290" t="s">
        <v>52</v>
      </c>
      <c r="U290" t="s">
        <v>56</v>
      </c>
      <c r="V290">
        <v>1</v>
      </c>
      <c r="W290">
        <v>0</v>
      </c>
      <c r="X290">
        <v>0</v>
      </c>
      <c r="Y290">
        <v>10</v>
      </c>
      <c r="Z290" t="s">
        <v>37</v>
      </c>
    </row>
    <row r="291" spans="1:26" x14ac:dyDescent="0.3">
      <c r="A291" t="s">
        <v>119</v>
      </c>
      <c r="B291" t="s">
        <v>34</v>
      </c>
      <c r="C291">
        <v>38</v>
      </c>
      <c r="D291">
        <v>25</v>
      </c>
      <c r="E291">
        <v>65.789473684210535</v>
      </c>
      <c r="F291" t="b">
        <v>1</v>
      </c>
      <c r="G291">
        <v>59.2</v>
      </c>
      <c r="H291">
        <v>74.7</v>
      </c>
      <c r="I291">
        <v>61.4</v>
      </c>
      <c r="J291">
        <v>56.3</v>
      </c>
      <c r="K291">
        <v>62.900000000000013</v>
      </c>
      <c r="L291" t="s">
        <v>49</v>
      </c>
      <c r="M291">
        <v>6</v>
      </c>
      <c r="N291" t="s">
        <v>55</v>
      </c>
      <c r="O291">
        <v>11</v>
      </c>
      <c r="P291">
        <v>6</v>
      </c>
      <c r="Q291">
        <v>44</v>
      </c>
      <c r="R291" t="s">
        <v>35</v>
      </c>
      <c r="S291">
        <v>2</v>
      </c>
      <c r="T291" t="s">
        <v>31</v>
      </c>
      <c r="U291" t="s">
        <v>36</v>
      </c>
      <c r="V291">
        <v>1</v>
      </c>
      <c r="W291">
        <v>0</v>
      </c>
      <c r="X291">
        <v>0</v>
      </c>
      <c r="Y291">
        <v>6</v>
      </c>
      <c r="Z291" t="s">
        <v>37</v>
      </c>
    </row>
    <row r="292" spans="1:26" x14ac:dyDescent="0.3">
      <c r="A292" t="s">
        <v>119</v>
      </c>
      <c r="B292" t="s">
        <v>40</v>
      </c>
      <c r="C292">
        <v>28</v>
      </c>
      <c r="D292">
        <v>25</v>
      </c>
      <c r="E292">
        <v>64.285714285714292</v>
      </c>
      <c r="F292" t="b">
        <v>1</v>
      </c>
      <c r="G292">
        <v>88.4</v>
      </c>
      <c r="H292">
        <v>90.1</v>
      </c>
      <c r="I292">
        <v>63.9</v>
      </c>
      <c r="J292">
        <v>72.8</v>
      </c>
      <c r="K292">
        <v>78.8</v>
      </c>
      <c r="L292" t="s">
        <v>49</v>
      </c>
      <c r="M292">
        <v>6</v>
      </c>
      <c r="N292" t="s">
        <v>55</v>
      </c>
      <c r="O292">
        <v>16</v>
      </c>
      <c r="P292">
        <v>11</v>
      </c>
      <c r="Q292">
        <v>46</v>
      </c>
      <c r="R292" t="s">
        <v>30</v>
      </c>
      <c r="S292">
        <v>3</v>
      </c>
      <c r="T292" t="s">
        <v>41</v>
      </c>
      <c r="U292" t="s">
        <v>56</v>
      </c>
      <c r="V292">
        <v>1</v>
      </c>
      <c r="W292">
        <v>0</v>
      </c>
      <c r="X292">
        <v>0</v>
      </c>
      <c r="Y292">
        <v>11</v>
      </c>
      <c r="Z292" t="s">
        <v>37</v>
      </c>
    </row>
    <row r="293" spans="1:26" x14ac:dyDescent="0.3">
      <c r="A293" t="s">
        <v>119</v>
      </c>
      <c r="B293" t="s">
        <v>57</v>
      </c>
      <c r="C293">
        <v>31</v>
      </c>
      <c r="D293">
        <v>18</v>
      </c>
      <c r="E293">
        <v>87.096774193548384</v>
      </c>
      <c r="F293" t="b">
        <v>1</v>
      </c>
      <c r="H293">
        <v>89.7</v>
      </c>
      <c r="I293">
        <v>63.9</v>
      </c>
      <c r="J293">
        <v>78.599999999999994</v>
      </c>
      <c r="K293">
        <v>77.399999999999991</v>
      </c>
      <c r="L293" t="s">
        <v>49</v>
      </c>
      <c r="M293">
        <v>6</v>
      </c>
      <c r="N293" t="s">
        <v>55</v>
      </c>
      <c r="O293">
        <v>13</v>
      </c>
      <c r="P293">
        <v>10</v>
      </c>
      <c r="Q293">
        <v>38</v>
      </c>
      <c r="R293" t="s">
        <v>30</v>
      </c>
      <c r="S293">
        <v>4</v>
      </c>
      <c r="T293" t="s">
        <v>58</v>
      </c>
      <c r="U293" t="s">
        <v>56</v>
      </c>
      <c r="V293">
        <v>0</v>
      </c>
      <c r="W293">
        <v>0</v>
      </c>
      <c r="X293">
        <v>1</v>
      </c>
      <c r="Y293">
        <v>10</v>
      </c>
      <c r="Z293" t="s">
        <v>37</v>
      </c>
    </row>
    <row r="294" spans="1:26" x14ac:dyDescent="0.3">
      <c r="A294" t="s">
        <v>119</v>
      </c>
      <c r="B294" t="s">
        <v>45</v>
      </c>
      <c r="C294">
        <v>30</v>
      </c>
      <c r="D294">
        <v>27</v>
      </c>
      <c r="E294">
        <v>76.666666666666671</v>
      </c>
      <c r="F294" t="b">
        <v>1</v>
      </c>
      <c r="G294">
        <v>63.5</v>
      </c>
      <c r="H294">
        <v>53.2</v>
      </c>
      <c r="I294">
        <v>71.8</v>
      </c>
      <c r="J294">
        <v>88.5</v>
      </c>
      <c r="K294">
        <v>69.25</v>
      </c>
      <c r="L294" t="s">
        <v>49</v>
      </c>
      <c r="M294">
        <v>6</v>
      </c>
      <c r="N294" t="s">
        <v>55</v>
      </c>
      <c r="O294">
        <v>22</v>
      </c>
      <c r="P294">
        <v>12</v>
      </c>
      <c r="Q294">
        <v>52</v>
      </c>
      <c r="R294" t="s">
        <v>46</v>
      </c>
      <c r="S294">
        <v>4</v>
      </c>
      <c r="T294" t="s">
        <v>47</v>
      </c>
      <c r="U294" t="s">
        <v>36</v>
      </c>
      <c r="V294">
        <v>0</v>
      </c>
      <c r="W294">
        <v>0</v>
      </c>
      <c r="X294">
        <v>0</v>
      </c>
      <c r="Y294">
        <v>12</v>
      </c>
      <c r="Z294" t="s">
        <v>37</v>
      </c>
    </row>
    <row r="295" spans="1:26" x14ac:dyDescent="0.3">
      <c r="A295" t="s">
        <v>120</v>
      </c>
      <c r="B295" t="s">
        <v>27</v>
      </c>
      <c r="C295">
        <v>28</v>
      </c>
      <c r="D295">
        <v>23</v>
      </c>
      <c r="E295">
        <v>71.428571428571431</v>
      </c>
      <c r="F295" t="b">
        <v>1</v>
      </c>
      <c r="G295">
        <v>100</v>
      </c>
      <c r="H295">
        <v>89.2</v>
      </c>
      <c r="I295">
        <v>100</v>
      </c>
      <c r="J295">
        <v>85.1</v>
      </c>
      <c r="K295">
        <v>93.575000000000003</v>
      </c>
      <c r="L295" t="s">
        <v>49</v>
      </c>
      <c r="M295">
        <v>5</v>
      </c>
      <c r="N295" t="s">
        <v>50</v>
      </c>
      <c r="O295">
        <v>19</v>
      </c>
      <c r="P295">
        <v>13</v>
      </c>
      <c r="Q295">
        <v>54</v>
      </c>
      <c r="R295" t="s">
        <v>30</v>
      </c>
      <c r="S295">
        <v>4</v>
      </c>
      <c r="T295" t="s">
        <v>31</v>
      </c>
      <c r="U295" t="s">
        <v>56</v>
      </c>
      <c r="V295">
        <v>1</v>
      </c>
      <c r="W295">
        <v>0</v>
      </c>
      <c r="X295">
        <v>0</v>
      </c>
      <c r="Y295">
        <v>13</v>
      </c>
      <c r="Z295" t="s">
        <v>37</v>
      </c>
    </row>
    <row r="296" spans="1:26" x14ac:dyDescent="0.3">
      <c r="A296" t="s">
        <v>120</v>
      </c>
      <c r="B296" t="s">
        <v>51</v>
      </c>
      <c r="C296">
        <v>40</v>
      </c>
      <c r="D296">
        <v>20</v>
      </c>
      <c r="E296">
        <v>57.499999999999993</v>
      </c>
      <c r="F296" t="b">
        <v>1</v>
      </c>
      <c r="G296">
        <v>83.7</v>
      </c>
      <c r="H296">
        <v>94.5</v>
      </c>
      <c r="I296">
        <v>100</v>
      </c>
      <c r="J296">
        <v>93.7</v>
      </c>
      <c r="K296">
        <v>92.974999999999994</v>
      </c>
      <c r="L296" t="s">
        <v>49</v>
      </c>
      <c r="M296">
        <v>5</v>
      </c>
      <c r="N296" t="s">
        <v>50</v>
      </c>
      <c r="O296">
        <v>24</v>
      </c>
      <c r="P296">
        <v>12</v>
      </c>
      <c r="Q296">
        <v>61</v>
      </c>
      <c r="R296" t="s">
        <v>30</v>
      </c>
      <c r="S296">
        <v>3</v>
      </c>
      <c r="T296" t="s">
        <v>52</v>
      </c>
      <c r="U296" t="s">
        <v>56</v>
      </c>
      <c r="V296">
        <v>1</v>
      </c>
      <c r="W296">
        <v>0</v>
      </c>
      <c r="X296">
        <v>0</v>
      </c>
      <c r="Y296">
        <v>12</v>
      </c>
      <c r="Z296" t="s">
        <v>37</v>
      </c>
    </row>
    <row r="297" spans="1:26" x14ac:dyDescent="0.3">
      <c r="A297" t="s">
        <v>120</v>
      </c>
      <c r="B297" t="s">
        <v>34</v>
      </c>
      <c r="C297">
        <v>29</v>
      </c>
      <c r="D297">
        <v>23</v>
      </c>
      <c r="E297">
        <v>68.965517241379317</v>
      </c>
      <c r="F297" t="b">
        <v>1</v>
      </c>
      <c r="G297">
        <v>100</v>
      </c>
      <c r="H297">
        <v>100</v>
      </c>
      <c r="I297">
        <v>100</v>
      </c>
      <c r="J297">
        <v>100</v>
      </c>
      <c r="K297">
        <v>100</v>
      </c>
      <c r="L297" t="s">
        <v>49</v>
      </c>
      <c r="M297">
        <v>5</v>
      </c>
      <c r="N297" t="s">
        <v>50</v>
      </c>
      <c r="O297">
        <v>23</v>
      </c>
      <c r="P297">
        <v>11</v>
      </c>
      <c r="Q297">
        <v>62</v>
      </c>
      <c r="R297" t="s">
        <v>35</v>
      </c>
      <c r="S297">
        <v>2</v>
      </c>
      <c r="T297" t="s">
        <v>31</v>
      </c>
      <c r="U297" t="s">
        <v>56</v>
      </c>
      <c r="V297">
        <v>1</v>
      </c>
      <c r="W297">
        <v>0</v>
      </c>
      <c r="X297">
        <v>0</v>
      </c>
      <c r="Y297">
        <v>11</v>
      </c>
      <c r="Z297" t="s">
        <v>37</v>
      </c>
    </row>
    <row r="298" spans="1:26" x14ac:dyDescent="0.3">
      <c r="A298" t="s">
        <v>120</v>
      </c>
      <c r="B298" t="s">
        <v>38</v>
      </c>
      <c r="C298">
        <v>26</v>
      </c>
      <c r="D298">
        <v>20</v>
      </c>
      <c r="E298">
        <v>80.769230769230774</v>
      </c>
      <c r="F298" t="b">
        <v>1</v>
      </c>
      <c r="G298">
        <v>100</v>
      </c>
      <c r="H298">
        <v>100</v>
      </c>
      <c r="I298">
        <v>71.900000000000006</v>
      </c>
      <c r="J298">
        <v>99.1</v>
      </c>
      <c r="K298">
        <v>92.75</v>
      </c>
      <c r="L298" t="s">
        <v>49</v>
      </c>
      <c r="M298">
        <v>5</v>
      </c>
      <c r="N298" t="s">
        <v>50</v>
      </c>
      <c r="O298">
        <v>29</v>
      </c>
      <c r="P298">
        <v>10</v>
      </c>
      <c r="Q298">
        <v>76</v>
      </c>
      <c r="R298" t="s">
        <v>30</v>
      </c>
      <c r="S298">
        <v>3</v>
      </c>
      <c r="T298" t="s">
        <v>39</v>
      </c>
      <c r="U298" t="s">
        <v>56</v>
      </c>
      <c r="V298">
        <v>0</v>
      </c>
      <c r="W298">
        <v>0</v>
      </c>
      <c r="X298">
        <v>0</v>
      </c>
      <c r="Y298">
        <v>10</v>
      </c>
      <c r="Z298" t="s">
        <v>37</v>
      </c>
    </row>
    <row r="299" spans="1:26" x14ac:dyDescent="0.3">
      <c r="A299" t="s">
        <v>121</v>
      </c>
      <c r="B299" t="s">
        <v>51</v>
      </c>
      <c r="C299">
        <v>30</v>
      </c>
      <c r="D299">
        <v>21</v>
      </c>
      <c r="E299">
        <v>63.333333333333329</v>
      </c>
      <c r="F299" t="b">
        <v>1</v>
      </c>
      <c r="G299">
        <v>70.900000000000006</v>
      </c>
      <c r="H299">
        <v>72.599999999999994</v>
      </c>
      <c r="I299">
        <v>94.6</v>
      </c>
      <c r="J299">
        <v>90.6</v>
      </c>
      <c r="K299">
        <v>82.174999999999997</v>
      </c>
      <c r="L299" t="s">
        <v>28</v>
      </c>
      <c r="M299">
        <v>4</v>
      </c>
      <c r="N299" t="s">
        <v>50</v>
      </c>
      <c r="O299">
        <v>14</v>
      </c>
      <c r="P299">
        <v>10</v>
      </c>
      <c r="Q299">
        <v>39</v>
      </c>
      <c r="R299" t="s">
        <v>30</v>
      </c>
      <c r="S299">
        <v>3</v>
      </c>
      <c r="T299" t="s">
        <v>52</v>
      </c>
      <c r="U299" t="s">
        <v>56</v>
      </c>
      <c r="V299">
        <v>1</v>
      </c>
      <c r="W299">
        <v>0</v>
      </c>
      <c r="X299">
        <v>0</v>
      </c>
      <c r="Y299">
        <v>10</v>
      </c>
      <c r="Z299" t="s">
        <v>37</v>
      </c>
    </row>
    <row r="300" spans="1:26" x14ac:dyDescent="0.3">
      <c r="A300" t="s">
        <v>121</v>
      </c>
      <c r="B300" t="s">
        <v>34</v>
      </c>
      <c r="C300">
        <v>32</v>
      </c>
      <c r="D300">
        <v>19</v>
      </c>
      <c r="E300">
        <v>71.875</v>
      </c>
      <c r="F300" t="b">
        <v>1</v>
      </c>
      <c r="G300">
        <v>75.900000000000006</v>
      </c>
      <c r="H300">
        <v>75</v>
      </c>
      <c r="I300">
        <v>68.8</v>
      </c>
      <c r="J300">
        <v>83.5</v>
      </c>
      <c r="K300">
        <v>75.8</v>
      </c>
      <c r="L300" t="s">
        <v>28</v>
      </c>
      <c r="M300">
        <v>4</v>
      </c>
      <c r="N300" t="s">
        <v>50</v>
      </c>
      <c r="O300">
        <v>15</v>
      </c>
      <c r="P300">
        <v>9</v>
      </c>
      <c r="Q300">
        <v>44</v>
      </c>
      <c r="R300" t="s">
        <v>35</v>
      </c>
      <c r="S300">
        <v>2</v>
      </c>
      <c r="T300" t="s">
        <v>31</v>
      </c>
      <c r="U300" t="s">
        <v>56</v>
      </c>
      <c r="V300">
        <v>1</v>
      </c>
      <c r="W300">
        <v>0</v>
      </c>
      <c r="X300">
        <v>0</v>
      </c>
      <c r="Y300">
        <v>9</v>
      </c>
      <c r="Z300" t="s">
        <v>37</v>
      </c>
    </row>
    <row r="301" spans="1:26" x14ac:dyDescent="0.3">
      <c r="A301" t="s">
        <v>121</v>
      </c>
      <c r="B301" t="s">
        <v>38</v>
      </c>
      <c r="C301">
        <v>31</v>
      </c>
      <c r="D301">
        <v>23</v>
      </c>
      <c r="E301">
        <v>70.967741935483872</v>
      </c>
      <c r="F301" t="b">
        <v>1</v>
      </c>
      <c r="G301">
        <v>58.4</v>
      </c>
      <c r="H301">
        <v>88.8</v>
      </c>
      <c r="I301">
        <v>67.8</v>
      </c>
      <c r="J301">
        <v>89.2</v>
      </c>
      <c r="K301">
        <v>76.05</v>
      </c>
      <c r="L301" t="s">
        <v>28</v>
      </c>
      <c r="M301">
        <v>4</v>
      </c>
      <c r="N301" t="s">
        <v>50</v>
      </c>
      <c r="O301">
        <v>15</v>
      </c>
      <c r="P301">
        <v>10</v>
      </c>
      <c r="Q301">
        <v>50</v>
      </c>
      <c r="R301" t="s">
        <v>30</v>
      </c>
      <c r="S301">
        <v>3</v>
      </c>
      <c r="T301" t="s">
        <v>39</v>
      </c>
      <c r="U301" t="s">
        <v>56</v>
      </c>
      <c r="V301">
        <v>1</v>
      </c>
      <c r="W301">
        <v>0</v>
      </c>
      <c r="X301">
        <v>0</v>
      </c>
      <c r="Y301">
        <v>10</v>
      </c>
      <c r="Z301" t="s">
        <v>37</v>
      </c>
    </row>
    <row r="302" spans="1:26" x14ac:dyDescent="0.3">
      <c r="A302" t="s">
        <v>121</v>
      </c>
      <c r="B302" t="s">
        <v>42</v>
      </c>
      <c r="C302">
        <v>40</v>
      </c>
      <c r="D302">
        <v>22</v>
      </c>
      <c r="E302">
        <v>45</v>
      </c>
      <c r="F302" t="b">
        <v>1</v>
      </c>
      <c r="G302">
        <v>86.3</v>
      </c>
      <c r="H302">
        <v>76.3</v>
      </c>
      <c r="I302">
        <v>47</v>
      </c>
      <c r="J302">
        <v>60.6</v>
      </c>
      <c r="K302">
        <v>67.55</v>
      </c>
      <c r="L302" t="s">
        <v>28</v>
      </c>
      <c r="M302">
        <v>4</v>
      </c>
      <c r="N302" t="s">
        <v>50</v>
      </c>
      <c r="O302">
        <v>16</v>
      </c>
      <c r="P302">
        <v>12</v>
      </c>
      <c r="Q302">
        <v>47</v>
      </c>
      <c r="R302" t="s">
        <v>43</v>
      </c>
      <c r="S302">
        <v>3</v>
      </c>
      <c r="T302" t="s">
        <v>44</v>
      </c>
      <c r="U302" t="s">
        <v>36</v>
      </c>
      <c r="V302">
        <v>1</v>
      </c>
      <c r="W302">
        <v>0</v>
      </c>
      <c r="X302">
        <v>0</v>
      </c>
      <c r="Y302">
        <v>12</v>
      </c>
      <c r="Z302" t="s">
        <v>37</v>
      </c>
    </row>
    <row r="303" spans="1:26" x14ac:dyDescent="0.3">
      <c r="A303" t="s">
        <v>122</v>
      </c>
      <c r="B303" t="s">
        <v>27</v>
      </c>
      <c r="C303">
        <v>39</v>
      </c>
      <c r="D303">
        <v>18</v>
      </c>
      <c r="E303">
        <v>58.974358974358978</v>
      </c>
      <c r="F303" t="b">
        <v>1</v>
      </c>
      <c r="G303">
        <v>36.299999999999997</v>
      </c>
      <c r="H303">
        <v>63.8</v>
      </c>
      <c r="I303">
        <v>79.2</v>
      </c>
      <c r="K303">
        <v>59.766666666666673</v>
      </c>
      <c r="L303" t="s">
        <v>28</v>
      </c>
      <c r="M303">
        <v>5</v>
      </c>
      <c r="N303" t="s">
        <v>29</v>
      </c>
      <c r="O303">
        <v>16</v>
      </c>
      <c r="P303">
        <v>9</v>
      </c>
      <c r="Q303">
        <v>67</v>
      </c>
      <c r="R303" t="s">
        <v>30</v>
      </c>
      <c r="S303">
        <v>4</v>
      </c>
      <c r="T303" t="s">
        <v>31</v>
      </c>
      <c r="U303" t="s">
        <v>32</v>
      </c>
      <c r="V303">
        <v>1</v>
      </c>
      <c r="W303">
        <v>0</v>
      </c>
      <c r="X303">
        <v>1</v>
      </c>
      <c r="Y303">
        <v>9</v>
      </c>
      <c r="Z303" t="s">
        <v>33</v>
      </c>
    </row>
    <row r="304" spans="1:26" x14ac:dyDescent="0.3">
      <c r="A304" t="s">
        <v>122</v>
      </c>
      <c r="B304" t="s">
        <v>51</v>
      </c>
      <c r="C304">
        <v>25</v>
      </c>
      <c r="D304">
        <v>23</v>
      </c>
      <c r="E304">
        <v>52</v>
      </c>
      <c r="F304" t="b">
        <v>1</v>
      </c>
      <c r="G304">
        <v>25.4</v>
      </c>
      <c r="H304">
        <v>65.7</v>
      </c>
      <c r="I304">
        <v>58.3</v>
      </c>
      <c r="J304">
        <v>75.5</v>
      </c>
      <c r="K304">
        <v>56.225000000000001</v>
      </c>
      <c r="L304" t="s">
        <v>28</v>
      </c>
      <c r="M304">
        <v>5</v>
      </c>
      <c r="N304" t="s">
        <v>29</v>
      </c>
      <c r="O304">
        <v>9</v>
      </c>
      <c r="P304">
        <v>11</v>
      </c>
      <c r="Q304">
        <v>37</v>
      </c>
      <c r="R304" t="s">
        <v>30</v>
      </c>
      <c r="S304">
        <v>3</v>
      </c>
      <c r="T304" t="s">
        <v>52</v>
      </c>
      <c r="U304" t="s">
        <v>32</v>
      </c>
      <c r="V304">
        <v>1</v>
      </c>
      <c r="W304">
        <v>0</v>
      </c>
      <c r="X304">
        <v>0</v>
      </c>
      <c r="Y304">
        <v>11</v>
      </c>
      <c r="Z304" t="s">
        <v>33</v>
      </c>
    </row>
    <row r="305" spans="1:26" x14ac:dyDescent="0.3">
      <c r="A305" t="s">
        <v>122</v>
      </c>
      <c r="B305" t="s">
        <v>38</v>
      </c>
      <c r="C305">
        <v>24</v>
      </c>
      <c r="D305">
        <v>13</v>
      </c>
      <c r="E305">
        <v>41.666666666666671</v>
      </c>
      <c r="F305" t="b">
        <v>1</v>
      </c>
      <c r="G305">
        <v>62.3</v>
      </c>
      <c r="H305">
        <v>64.3</v>
      </c>
      <c r="I305">
        <v>61</v>
      </c>
      <c r="J305">
        <v>62.3</v>
      </c>
      <c r="K305">
        <v>62.475000000000001</v>
      </c>
      <c r="L305" t="s">
        <v>28</v>
      </c>
      <c r="M305">
        <v>5</v>
      </c>
      <c r="N305" t="s">
        <v>29</v>
      </c>
      <c r="O305">
        <v>14</v>
      </c>
      <c r="P305">
        <v>7</v>
      </c>
      <c r="Q305">
        <v>28</v>
      </c>
      <c r="R305" t="s">
        <v>30</v>
      </c>
      <c r="S305">
        <v>3</v>
      </c>
      <c r="T305" t="s">
        <v>39</v>
      </c>
      <c r="U305" t="s">
        <v>36</v>
      </c>
      <c r="V305">
        <v>1</v>
      </c>
      <c r="W305">
        <v>0</v>
      </c>
      <c r="X305">
        <v>0</v>
      </c>
      <c r="Y305">
        <v>7</v>
      </c>
      <c r="Z305" t="s">
        <v>37</v>
      </c>
    </row>
    <row r="306" spans="1:26" x14ac:dyDescent="0.3">
      <c r="A306" t="s">
        <v>122</v>
      </c>
      <c r="B306" t="s">
        <v>40</v>
      </c>
      <c r="C306">
        <v>39</v>
      </c>
      <c r="D306">
        <v>10</v>
      </c>
      <c r="E306">
        <v>43.589743589743591</v>
      </c>
      <c r="F306" t="b">
        <v>1</v>
      </c>
      <c r="G306">
        <v>41</v>
      </c>
      <c r="H306">
        <v>50.1</v>
      </c>
      <c r="I306">
        <v>47.9</v>
      </c>
      <c r="J306">
        <v>69.7</v>
      </c>
      <c r="K306">
        <v>52.174999999999997</v>
      </c>
      <c r="L306" t="s">
        <v>28</v>
      </c>
      <c r="M306">
        <v>5</v>
      </c>
      <c r="N306" t="s">
        <v>29</v>
      </c>
      <c r="O306">
        <v>24</v>
      </c>
      <c r="P306">
        <v>9</v>
      </c>
      <c r="Q306">
        <v>60</v>
      </c>
      <c r="R306" t="s">
        <v>30</v>
      </c>
      <c r="S306">
        <v>3</v>
      </c>
      <c r="T306" t="s">
        <v>41</v>
      </c>
      <c r="U306" t="s">
        <v>32</v>
      </c>
      <c r="V306">
        <v>1</v>
      </c>
      <c r="W306">
        <v>0</v>
      </c>
      <c r="X306">
        <v>0</v>
      </c>
      <c r="Y306">
        <v>9</v>
      </c>
      <c r="Z306" t="s">
        <v>33</v>
      </c>
    </row>
    <row r="307" spans="1:26" x14ac:dyDescent="0.3">
      <c r="A307" t="s">
        <v>122</v>
      </c>
      <c r="B307" t="s">
        <v>42</v>
      </c>
      <c r="C307">
        <v>36</v>
      </c>
      <c r="D307">
        <v>17</v>
      </c>
      <c r="E307">
        <v>63.888888888888893</v>
      </c>
      <c r="F307" t="b">
        <v>1</v>
      </c>
      <c r="G307">
        <v>54.1</v>
      </c>
      <c r="H307">
        <v>51.6</v>
      </c>
      <c r="I307">
        <v>25.9</v>
      </c>
      <c r="J307">
        <v>50.9</v>
      </c>
      <c r="K307">
        <v>45.625</v>
      </c>
      <c r="L307" t="s">
        <v>28</v>
      </c>
      <c r="M307">
        <v>5</v>
      </c>
      <c r="N307" t="s">
        <v>29</v>
      </c>
      <c r="O307">
        <v>24</v>
      </c>
      <c r="P307">
        <v>11</v>
      </c>
      <c r="Q307">
        <v>70</v>
      </c>
      <c r="R307" t="s">
        <v>43</v>
      </c>
      <c r="S307">
        <v>3</v>
      </c>
      <c r="T307" t="s">
        <v>44</v>
      </c>
      <c r="U307" t="s">
        <v>32</v>
      </c>
      <c r="V307">
        <v>1</v>
      </c>
      <c r="W307">
        <v>0</v>
      </c>
      <c r="X307">
        <v>0</v>
      </c>
      <c r="Y307">
        <v>11</v>
      </c>
      <c r="Z307" t="s">
        <v>33</v>
      </c>
    </row>
    <row r="308" spans="1:26" x14ac:dyDescent="0.3">
      <c r="A308" t="s">
        <v>123</v>
      </c>
      <c r="B308" t="s">
        <v>27</v>
      </c>
      <c r="C308">
        <v>37</v>
      </c>
      <c r="D308">
        <v>23</v>
      </c>
      <c r="E308">
        <v>56.756756756756758</v>
      </c>
      <c r="F308" t="b">
        <v>1</v>
      </c>
      <c r="G308">
        <v>80</v>
      </c>
      <c r="H308">
        <v>100</v>
      </c>
      <c r="I308">
        <v>79.400000000000006</v>
      </c>
      <c r="J308">
        <v>79.400000000000006</v>
      </c>
      <c r="K308">
        <v>84.699999999999989</v>
      </c>
      <c r="L308" t="s">
        <v>49</v>
      </c>
      <c r="M308">
        <v>5</v>
      </c>
      <c r="N308" t="s">
        <v>50</v>
      </c>
      <c r="O308">
        <v>24</v>
      </c>
      <c r="P308">
        <v>11</v>
      </c>
      <c r="Q308">
        <v>70</v>
      </c>
      <c r="R308" t="s">
        <v>30</v>
      </c>
      <c r="S308">
        <v>4</v>
      </c>
      <c r="T308" t="s">
        <v>31</v>
      </c>
      <c r="U308" t="s">
        <v>56</v>
      </c>
      <c r="V308">
        <v>1</v>
      </c>
      <c r="W308">
        <v>0</v>
      </c>
      <c r="X308">
        <v>0</v>
      </c>
      <c r="Y308">
        <v>11</v>
      </c>
      <c r="Z308" t="s">
        <v>37</v>
      </c>
    </row>
    <row r="309" spans="1:26" x14ac:dyDescent="0.3">
      <c r="A309" t="s">
        <v>123</v>
      </c>
      <c r="B309" t="s">
        <v>34</v>
      </c>
      <c r="C309">
        <v>28</v>
      </c>
      <c r="D309">
        <v>21</v>
      </c>
      <c r="E309">
        <v>85.714285714285708</v>
      </c>
      <c r="F309" t="b">
        <v>1</v>
      </c>
      <c r="G309">
        <v>87</v>
      </c>
      <c r="H309">
        <v>89</v>
      </c>
      <c r="I309">
        <v>83.5</v>
      </c>
      <c r="J309">
        <v>86.9</v>
      </c>
      <c r="K309">
        <v>86.6</v>
      </c>
      <c r="L309" t="s">
        <v>49</v>
      </c>
      <c r="M309">
        <v>5</v>
      </c>
      <c r="N309" t="s">
        <v>50</v>
      </c>
      <c r="O309">
        <v>19</v>
      </c>
      <c r="P309">
        <v>13</v>
      </c>
      <c r="Q309">
        <v>46</v>
      </c>
      <c r="R309" t="s">
        <v>35</v>
      </c>
      <c r="S309">
        <v>2</v>
      </c>
      <c r="T309" t="s">
        <v>31</v>
      </c>
      <c r="U309" t="s">
        <v>56</v>
      </c>
      <c r="V309">
        <v>0</v>
      </c>
      <c r="W309">
        <v>0</v>
      </c>
      <c r="X309">
        <v>0</v>
      </c>
      <c r="Y309">
        <v>13</v>
      </c>
      <c r="Z309" t="s">
        <v>37</v>
      </c>
    </row>
    <row r="310" spans="1:26" x14ac:dyDescent="0.3">
      <c r="A310" t="s">
        <v>123</v>
      </c>
      <c r="B310" t="s">
        <v>38</v>
      </c>
      <c r="C310">
        <v>29</v>
      </c>
      <c r="D310">
        <v>24</v>
      </c>
      <c r="E310">
        <v>58.620689655172413</v>
      </c>
      <c r="F310" t="b">
        <v>1</v>
      </c>
      <c r="G310">
        <v>50.9</v>
      </c>
      <c r="H310">
        <v>86.8</v>
      </c>
      <c r="I310">
        <v>87.8</v>
      </c>
      <c r="J310">
        <v>73.8</v>
      </c>
      <c r="K310">
        <v>74.825000000000003</v>
      </c>
      <c r="L310" t="s">
        <v>49</v>
      </c>
      <c r="M310">
        <v>5</v>
      </c>
      <c r="N310" t="s">
        <v>50</v>
      </c>
      <c r="O310">
        <v>20</v>
      </c>
      <c r="P310">
        <v>9</v>
      </c>
      <c r="Q310">
        <v>59</v>
      </c>
      <c r="R310" t="s">
        <v>30</v>
      </c>
      <c r="S310">
        <v>3</v>
      </c>
      <c r="T310" t="s">
        <v>39</v>
      </c>
      <c r="U310" t="s">
        <v>36</v>
      </c>
      <c r="V310">
        <v>1</v>
      </c>
      <c r="W310">
        <v>0</v>
      </c>
      <c r="X310">
        <v>0</v>
      </c>
      <c r="Y310">
        <v>9</v>
      </c>
      <c r="Z310" t="s">
        <v>37</v>
      </c>
    </row>
    <row r="311" spans="1:26" x14ac:dyDescent="0.3">
      <c r="A311" t="s">
        <v>123</v>
      </c>
      <c r="B311" t="s">
        <v>57</v>
      </c>
      <c r="C311">
        <v>27</v>
      </c>
      <c r="D311">
        <v>17</v>
      </c>
      <c r="E311">
        <v>66.666666666666657</v>
      </c>
      <c r="F311" t="b">
        <v>1</v>
      </c>
      <c r="G311">
        <v>72.3</v>
      </c>
      <c r="H311">
        <v>85.6</v>
      </c>
      <c r="I311">
        <v>73.099999999999994</v>
      </c>
      <c r="J311">
        <v>70.3</v>
      </c>
      <c r="K311">
        <v>75.324999999999989</v>
      </c>
      <c r="L311" t="s">
        <v>49</v>
      </c>
      <c r="M311">
        <v>5</v>
      </c>
      <c r="N311" t="s">
        <v>50</v>
      </c>
      <c r="O311">
        <v>19</v>
      </c>
      <c r="P311">
        <v>7</v>
      </c>
      <c r="Q311">
        <v>39</v>
      </c>
      <c r="R311" t="s">
        <v>30</v>
      </c>
      <c r="S311">
        <v>4</v>
      </c>
      <c r="T311" t="s">
        <v>58</v>
      </c>
      <c r="U311" t="s">
        <v>56</v>
      </c>
      <c r="V311">
        <v>1</v>
      </c>
      <c r="W311">
        <v>0</v>
      </c>
      <c r="X311">
        <v>0</v>
      </c>
      <c r="Y311">
        <v>7</v>
      </c>
      <c r="Z311" t="s">
        <v>37</v>
      </c>
    </row>
    <row r="312" spans="1:26" x14ac:dyDescent="0.3">
      <c r="A312" t="s">
        <v>123</v>
      </c>
      <c r="B312" t="s">
        <v>42</v>
      </c>
      <c r="C312">
        <v>34</v>
      </c>
      <c r="D312">
        <v>18</v>
      </c>
      <c r="E312">
        <v>88.235294117647058</v>
      </c>
      <c r="F312" t="b">
        <v>1</v>
      </c>
      <c r="G312">
        <v>67.3</v>
      </c>
      <c r="H312">
        <v>77.3</v>
      </c>
      <c r="I312">
        <v>52.3</v>
      </c>
      <c r="J312">
        <v>94.8</v>
      </c>
      <c r="K312">
        <v>72.924999999999997</v>
      </c>
      <c r="L312" t="s">
        <v>49</v>
      </c>
      <c r="M312">
        <v>5</v>
      </c>
      <c r="N312" t="s">
        <v>50</v>
      </c>
      <c r="O312">
        <v>18</v>
      </c>
      <c r="P312">
        <v>12</v>
      </c>
      <c r="Q312">
        <v>53</v>
      </c>
      <c r="R312" t="s">
        <v>43</v>
      </c>
      <c r="S312">
        <v>3</v>
      </c>
      <c r="T312" t="s">
        <v>44</v>
      </c>
      <c r="U312" t="s">
        <v>36</v>
      </c>
      <c r="V312">
        <v>0</v>
      </c>
      <c r="W312">
        <v>0</v>
      </c>
      <c r="X312">
        <v>0</v>
      </c>
      <c r="Y312">
        <v>12</v>
      </c>
      <c r="Z312" t="s">
        <v>37</v>
      </c>
    </row>
    <row r="313" spans="1:26" x14ac:dyDescent="0.3">
      <c r="A313" t="s">
        <v>123</v>
      </c>
      <c r="B313" t="s">
        <v>45</v>
      </c>
      <c r="C313">
        <v>31</v>
      </c>
      <c r="D313">
        <v>30</v>
      </c>
      <c r="E313">
        <v>83.870967741935488</v>
      </c>
      <c r="F313" t="b">
        <v>1</v>
      </c>
      <c r="G313">
        <v>70.7</v>
      </c>
      <c r="H313">
        <v>75.5</v>
      </c>
      <c r="I313">
        <v>52.1</v>
      </c>
      <c r="J313">
        <v>76.8</v>
      </c>
      <c r="K313">
        <v>68.774999999999991</v>
      </c>
      <c r="L313" t="s">
        <v>49</v>
      </c>
      <c r="M313">
        <v>5</v>
      </c>
      <c r="N313" t="s">
        <v>50</v>
      </c>
      <c r="O313">
        <v>27</v>
      </c>
      <c r="P313">
        <v>10</v>
      </c>
      <c r="Q313">
        <v>56</v>
      </c>
      <c r="R313" t="s">
        <v>46</v>
      </c>
      <c r="S313">
        <v>4</v>
      </c>
      <c r="T313" t="s">
        <v>47</v>
      </c>
      <c r="U313" t="s">
        <v>36</v>
      </c>
      <c r="V313">
        <v>0</v>
      </c>
      <c r="W313">
        <v>0</v>
      </c>
      <c r="X313">
        <v>0</v>
      </c>
      <c r="Y313">
        <v>10</v>
      </c>
      <c r="Z313" t="s">
        <v>37</v>
      </c>
    </row>
    <row r="314" spans="1:26" x14ac:dyDescent="0.3">
      <c r="A314" t="s">
        <v>124</v>
      </c>
      <c r="B314" t="s">
        <v>27</v>
      </c>
      <c r="C314">
        <v>35</v>
      </c>
      <c r="D314">
        <v>26</v>
      </c>
      <c r="E314">
        <v>51.428571428571423</v>
      </c>
      <c r="F314" t="b">
        <v>1</v>
      </c>
      <c r="G314">
        <v>53.6</v>
      </c>
      <c r="H314">
        <v>77.400000000000006</v>
      </c>
      <c r="I314">
        <v>100</v>
      </c>
      <c r="J314">
        <v>87.3</v>
      </c>
      <c r="K314">
        <v>79.575000000000003</v>
      </c>
      <c r="L314" t="s">
        <v>49</v>
      </c>
      <c r="M314">
        <v>4</v>
      </c>
      <c r="N314" t="s">
        <v>55</v>
      </c>
      <c r="O314">
        <v>20</v>
      </c>
      <c r="P314">
        <v>9</v>
      </c>
      <c r="Q314">
        <v>39</v>
      </c>
      <c r="R314" t="s">
        <v>30</v>
      </c>
      <c r="S314">
        <v>4</v>
      </c>
      <c r="T314" t="s">
        <v>31</v>
      </c>
      <c r="U314" t="s">
        <v>56</v>
      </c>
      <c r="V314">
        <v>1</v>
      </c>
      <c r="W314">
        <v>0</v>
      </c>
      <c r="X314">
        <v>0</v>
      </c>
      <c r="Y314">
        <v>9</v>
      </c>
      <c r="Z314" t="s">
        <v>37</v>
      </c>
    </row>
    <row r="315" spans="1:26" x14ac:dyDescent="0.3">
      <c r="A315" t="s">
        <v>124</v>
      </c>
      <c r="B315" t="s">
        <v>51</v>
      </c>
      <c r="C315">
        <v>34</v>
      </c>
      <c r="D315">
        <v>18</v>
      </c>
      <c r="E315">
        <v>52.941176470588239</v>
      </c>
      <c r="F315" t="b">
        <v>1</v>
      </c>
      <c r="G315">
        <v>66.599999999999994</v>
      </c>
      <c r="H315">
        <v>72.599999999999994</v>
      </c>
      <c r="I315">
        <v>75.7</v>
      </c>
      <c r="J315">
        <v>75.099999999999994</v>
      </c>
      <c r="K315">
        <v>72.5</v>
      </c>
      <c r="L315" t="s">
        <v>49</v>
      </c>
      <c r="M315">
        <v>4</v>
      </c>
      <c r="N315" t="s">
        <v>55</v>
      </c>
      <c r="O315">
        <v>16</v>
      </c>
      <c r="P315">
        <v>10</v>
      </c>
      <c r="Q315">
        <v>55</v>
      </c>
      <c r="R315" t="s">
        <v>30</v>
      </c>
      <c r="S315">
        <v>3</v>
      </c>
      <c r="T315" t="s">
        <v>52</v>
      </c>
      <c r="U315" t="s">
        <v>36</v>
      </c>
      <c r="V315">
        <v>1</v>
      </c>
      <c r="W315">
        <v>0</v>
      </c>
      <c r="X315">
        <v>0</v>
      </c>
      <c r="Y315">
        <v>10</v>
      </c>
      <c r="Z315" t="s">
        <v>37</v>
      </c>
    </row>
    <row r="316" spans="1:26" x14ac:dyDescent="0.3">
      <c r="A316" t="s">
        <v>124</v>
      </c>
      <c r="B316" t="s">
        <v>34</v>
      </c>
      <c r="C316">
        <v>40</v>
      </c>
      <c r="D316">
        <v>18</v>
      </c>
      <c r="E316">
        <v>45</v>
      </c>
      <c r="F316" t="b">
        <v>1</v>
      </c>
      <c r="G316">
        <v>64.099999999999994</v>
      </c>
      <c r="H316">
        <v>87.8</v>
      </c>
      <c r="I316">
        <v>65</v>
      </c>
      <c r="J316">
        <v>84.4</v>
      </c>
      <c r="K316">
        <v>75.324999999999989</v>
      </c>
      <c r="L316" t="s">
        <v>49</v>
      </c>
      <c r="M316">
        <v>4</v>
      </c>
      <c r="N316" t="s">
        <v>55</v>
      </c>
      <c r="O316">
        <v>13</v>
      </c>
      <c r="P316">
        <v>10</v>
      </c>
      <c r="Q316">
        <v>45</v>
      </c>
      <c r="R316" t="s">
        <v>35</v>
      </c>
      <c r="S316">
        <v>2</v>
      </c>
      <c r="T316" t="s">
        <v>31</v>
      </c>
      <c r="U316" t="s">
        <v>56</v>
      </c>
      <c r="V316">
        <v>1</v>
      </c>
      <c r="W316">
        <v>0</v>
      </c>
      <c r="X316">
        <v>0</v>
      </c>
      <c r="Y316">
        <v>10</v>
      </c>
      <c r="Z316" t="s">
        <v>37</v>
      </c>
    </row>
    <row r="317" spans="1:26" x14ac:dyDescent="0.3">
      <c r="A317" t="s">
        <v>124</v>
      </c>
      <c r="B317" t="s">
        <v>40</v>
      </c>
      <c r="C317">
        <v>39</v>
      </c>
      <c r="D317">
        <v>18</v>
      </c>
      <c r="E317">
        <v>46.153846153846153</v>
      </c>
      <c r="F317" t="b">
        <v>1</v>
      </c>
      <c r="G317">
        <v>63.7</v>
      </c>
      <c r="H317">
        <v>71.2</v>
      </c>
      <c r="I317">
        <v>68.900000000000006</v>
      </c>
      <c r="J317">
        <v>70.599999999999994</v>
      </c>
      <c r="K317">
        <v>68.599999999999994</v>
      </c>
      <c r="L317" t="s">
        <v>49</v>
      </c>
      <c r="M317">
        <v>4</v>
      </c>
      <c r="N317" t="s">
        <v>55</v>
      </c>
      <c r="O317">
        <v>10</v>
      </c>
      <c r="P317">
        <v>9</v>
      </c>
      <c r="Q317">
        <v>30</v>
      </c>
      <c r="R317" t="s">
        <v>30</v>
      </c>
      <c r="S317">
        <v>3</v>
      </c>
      <c r="T317" t="s">
        <v>41</v>
      </c>
      <c r="U317" t="s">
        <v>36</v>
      </c>
      <c r="V317">
        <v>1</v>
      </c>
      <c r="W317">
        <v>0</v>
      </c>
      <c r="X317">
        <v>0</v>
      </c>
      <c r="Y317">
        <v>9</v>
      </c>
      <c r="Z317" t="s">
        <v>37</v>
      </c>
    </row>
    <row r="318" spans="1:26" x14ac:dyDescent="0.3">
      <c r="A318" t="s">
        <v>125</v>
      </c>
      <c r="B318" t="s">
        <v>27</v>
      </c>
      <c r="C318">
        <v>28</v>
      </c>
      <c r="D318">
        <v>18</v>
      </c>
      <c r="E318">
        <v>46.428571428571431</v>
      </c>
      <c r="F318" t="b">
        <v>1</v>
      </c>
      <c r="G318">
        <v>43.6</v>
      </c>
      <c r="H318">
        <v>65.599999999999994</v>
      </c>
      <c r="I318">
        <v>73.7</v>
      </c>
      <c r="J318">
        <v>74.8</v>
      </c>
      <c r="K318">
        <v>64.424999999999997</v>
      </c>
      <c r="L318" t="s">
        <v>61</v>
      </c>
      <c r="M318">
        <v>3</v>
      </c>
      <c r="N318" t="s">
        <v>50</v>
      </c>
      <c r="O318">
        <v>19</v>
      </c>
      <c r="P318">
        <v>9</v>
      </c>
      <c r="Q318">
        <v>65</v>
      </c>
      <c r="R318" t="s">
        <v>30</v>
      </c>
      <c r="S318">
        <v>4</v>
      </c>
      <c r="T318" t="s">
        <v>31</v>
      </c>
      <c r="U318" t="s">
        <v>36</v>
      </c>
      <c r="V318">
        <v>1</v>
      </c>
      <c r="W318">
        <v>0</v>
      </c>
      <c r="X318">
        <v>0</v>
      </c>
      <c r="Y318">
        <v>9</v>
      </c>
      <c r="Z318" t="s">
        <v>37</v>
      </c>
    </row>
    <row r="319" spans="1:26" x14ac:dyDescent="0.3">
      <c r="A319" t="s">
        <v>125</v>
      </c>
      <c r="B319" t="s">
        <v>51</v>
      </c>
      <c r="C319">
        <v>29</v>
      </c>
      <c r="D319">
        <v>13</v>
      </c>
      <c r="E319">
        <v>65.517241379310349</v>
      </c>
      <c r="F319" t="b">
        <v>1</v>
      </c>
      <c r="G319">
        <v>67.8</v>
      </c>
      <c r="H319">
        <v>92.9</v>
      </c>
      <c r="I319">
        <v>52.2</v>
      </c>
      <c r="J319">
        <v>67</v>
      </c>
      <c r="K319">
        <v>69.974999999999994</v>
      </c>
      <c r="L319" t="s">
        <v>61</v>
      </c>
      <c r="M319">
        <v>3</v>
      </c>
      <c r="N319" t="s">
        <v>50</v>
      </c>
      <c r="O319">
        <v>15</v>
      </c>
      <c r="P319">
        <v>8</v>
      </c>
      <c r="Q319">
        <v>61</v>
      </c>
      <c r="R319" t="s">
        <v>30</v>
      </c>
      <c r="S319">
        <v>3</v>
      </c>
      <c r="T319" t="s">
        <v>52</v>
      </c>
      <c r="U319" t="s">
        <v>36</v>
      </c>
      <c r="V319">
        <v>1</v>
      </c>
      <c r="W319">
        <v>0</v>
      </c>
      <c r="X319">
        <v>0</v>
      </c>
      <c r="Y319">
        <v>8</v>
      </c>
      <c r="Z319" t="s">
        <v>37</v>
      </c>
    </row>
    <row r="320" spans="1:26" x14ac:dyDescent="0.3">
      <c r="A320" t="s">
        <v>125</v>
      </c>
      <c r="B320" t="s">
        <v>34</v>
      </c>
      <c r="C320">
        <v>28</v>
      </c>
      <c r="D320">
        <v>19</v>
      </c>
      <c r="E320">
        <v>67.857142857142861</v>
      </c>
      <c r="F320" t="b">
        <v>1</v>
      </c>
      <c r="G320">
        <v>76.7</v>
      </c>
      <c r="H320">
        <v>68.3</v>
      </c>
      <c r="I320">
        <v>46.9</v>
      </c>
      <c r="J320">
        <v>78.5</v>
      </c>
      <c r="K320">
        <v>67.599999999999994</v>
      </c>
      <c r="L320" t="s">
        <v>61</v>
      </c>
      <c r="M320">
        <v>3</v>
      </c>
      <c r="N320" t="s">
        <v>50</v>
      </c>
      <c r="O320">
        <v>21</v>
      </c>
      <c r="P320">
        <v>11</v>
      </c>
      <c r="Q320">
        <v>49</v>
      </c>
      <c r="R320" t="s">
        <v>35</v>
      </c>
      <c r="S320">
        <v>2</v>
      </c>
      <c r="T320" t="s">
        <v>31</v>
      </c>
      <c r="U320" t="s">
        <v>36</v>
      </c>
      <c r="V320">
        <v>1</v>
      </c>
      <c r="W320">
        <v>0</v>
      </c>
      <c r="X320">
        <v>0</v>
      </c>
      <c r="Y320">
        <v>11</v>
      </c>
      <c r="Z320" t="s">
        <v>37</v>
      </c>
    </row>
    <row r="321" spans="1:26" x14ac:dyDescent="0.3">
      <c r="A321" t="s">
        <v>125</v>
      </c>
      <c r="B321" t="s">
        <v>38</v>
      </c>
      <c r="C321">
        <v>28</v>
      </c>
      <c r="D321">
        <v>19</v>
      </c>
      <c r="E321">
        <v>53.571428571428569</v>
      </c>
      <c r="F321" t="b">
        <v>1</v>
      </c>
      <c r="G321">
        <v>66.2</v>
      </c>
      <c r="I321">
        <v>65.099999999999994</v>
      </c>
      <c r="J321">
        <v>83.4</v>
      </c>
      <c r="K321">
        <v>71.566666666666677</v>
      </c>
      <c r="L321" t="s">
        <v>61</v>
      </c>
      <c r="M321">
        <v>3</v>
      </c>
      <c r="N321" t="s">
        <v>50</v>
      </c>
      <c r="O321">
        <v>16</v>
      </c>
      <c r="P321">
        <v>8</v>
      </c>
      <c r="Q321">
        <v>47</v>
      </c>
      <c r="R321" t="s">
        <v>30</v>
      </c>
      <c r="S321">
        <v>3</v>
      </c>
      <c r="T321" t="s">
        <v>39</v>
      </c>
      <c r="U321" t="s">
        <v>36</v>
      </c>
      <c r="V321">
        <v>1</v>
      </c>
      <c r="W321">
        <v>0</v>
      </c>
      <c r="X321">
        <v>1</v>
      </c>
      <c r="Y321">
        <v>8</v>
      </c>
      <c r="Z321" t="s">
        <v>37</v>
      </c>
    </row>
    <row r="322" spans="1:26" x14ac:dyDescent="0.3">
      <c r="A322" t="s">
        <v>125</v>
      </c>
      <c r="B322" t="s">
        <v>57</v>
      </c>
      <c r="C322">
        <v>26</v>
      </c>
      <c r="D322">
        <v>15</v>
      </c>
      <c r="E322">
        <v>65.384615384615387</v>
      </c>
      <c r="F322" t="b">
        <v>1</v>
      </c>
      <c r="G322">
        <v>71.7</v>
      </c>
      <c r="H322">
        <v>77.7</v>
      </c>
      <c r="J322">
        <v>69.400000000000006</v>
      </c>
      <c r="K322">
        <v>72.933333333333337</v>
      </c>
      <c r="L322" t="s">
        <v>61</v>
      </c>
      <c r="M322">
        <v>3</v>
      </c>
      <c r="N322" t="s">
        <v>50</v>
      </c>
      <c r="O322">
        <v>25</v>
      </c>
      <c r="P322">
        <v>9</v>
      </c>
      <c r="Q322">
        <v>71</v>
      </c>
      <c r="R322" t="s">
        <v>30</v>
      </c>
      <c r="S322">
        <v>4</v>
      </c>
      <c r="T322" t="s">
        <v>58</v>
      </c>
      <c r="U322" t="s">
        <v>36</v>
      </c>
      <c r="V322">
        <v>1</v>
      </c>
      <c r="W322">
        <v>0</v>
      </c>
      <c r="X322">
        <v>1</v>
      </c>
      <c r="Y322">
        <v>9</v>
      </c>
      <c r="Z322" t="s">
        <v>37</v>
      </c>
    </row>
    <row r="323" spans="1:26" x14ac:dyDescent="0.3">
      <c r="A323" t="s">
        <v>125</v>
      </c>
      <c r="B323" t="s">
        <v>42</v>
      </c>
      <c r="C323">
        <v>30</v>
      </c>
      <c r="D323">
        <v>17</v>
      </c>
      <c r="E323">
        <v>53.333333333333343</v>
      </c>
      <c r="F323" t="b">
        <v>1</v>
      </c>
      <c r="G323">
        <v>41.7</v>
      </c>
      <c r="H323">
        <v>58.1</v>
      </c>
      <c r="I323">
        <v>34.799999999999997</v>
      </c>
      <c r="J323">
        <v>73.400000000000006</v>
      </c>
      <c r="K323">
        <v>52.000000000000007</v>
      </c>
      <c r="L323" t="s">
        <v>61</v>
      </c>
      <c r="M323">
        <v>3</v>
      </c>
      <c r="N323" t="s">
        <v>50</v>
      </c>
      <c r="O323">
        <v>31</v>
      </c>
      <c r="P323">
        <v>8</v>
      </c>
      <c r="Q323">
        <v>61</v>
      </c>
      <c r="R323" t="s">
        <v>43</v>
      </c>
      <c r="S323">
        <v>3</v>
      </c>
      <c r="T323" t="s">
        <v>44</v>
      </c>
      <c r="U323" t="s">
        <v>32</v>
      </c>
      <c r="V323">
        <v>1</v>
      </c>
      <c r="W323">
        <v>0</v>
      </c>
      <c r="X323">
        <v>0</v>
      </c>
      <c r="Y323">
        <v>8</v>
      </c>
      <c r="Z323" t="s">
        <v>33</v>
      </c>
    </row>
    <row r="324" spans="1:26" x14ac:dyDescent="0.3">
      <c r="A324" t="s">
        <v>126</v>
      </c>
      <c r="B324" t="s">
        <v>27</v>
      </c>
      <c r="C324">
        <v>37</v>
      </c>
      <c r="D324">
        <v>16</v>
      </c>
      <c r="E324">
        <v>78.378378378378372</v>
      </c>
      <c r="F324" t="b">
        <v>1</v>
      </c>
      <c r="G324">
        <v>60</v>
      </c>
      <c r="H324">
        <v>41.6</v>
      </c>
      <c r="I324">
        <v>46.9</v>
      </c>
      <c r="J324">
        <v>43.4</v>
      </c>
      <c r="K324">
        <v>47.975000000000001</v>
      </c>
      <c r="L324" t="s">
        <v>61</v>
      </c>
      <c r="M324">
        <v>5</v>
      </c>
      <c r="N324" t="s">
        <v>55</v>
      </c>
      <c r="O324">
        <v>13</v>
      </c>
      <c r="P324">
        <v>10</v>
      </c>
      <c r="Q324">
        <v>43</v>
      </c>
      <c r="R324" t="s">
        <v>30</v>
      </c>
      <c r="S324">
        <v>4</v>
      </c>
      <c r="T324" t="s">
        <v>31</v>
      </c>
      <c r="U324" t="s">
        <v>32</v>
      </c>
      <c r="V324">
        <v>0</v>
      </c>
      <c r="W324">
        <v>0</v>
      </c>
      <c r="X324">
        <v>0</v>
      </c>
      <c r="Y324">
        <v>10</v>
      </c>
      <c r="Z324" t="s">
        <v>37</v>
      </c>
    </row>
    <row r="325" spans="1:26" x14ac:dyDescent="0.3">
      <c r="A325" t="s">
        <v>126</v>
      </c>
      <c r="B325" t="s">
        <v>51</v>
      </c>
      <c r="C325">
        <v>33</v>
      </c>
      <c r="D325">
        <v>29</v>
      </c>
      <c r="E325">
        <v>60.606060606060609</v>
      </c>
      <c r="F325" t="b">
        <v>1</v>
      </c>
      <c r="G325">
        <v>45.4</v>
      </c>
      <c r="H325">
        <v>54.2</v>
      </c>
      <c r="I325">
        <v>65.8</v>
      </c>
      <c r="J325">
        <v>52.1</v>
      </c>
      <c r="K325">
        <v>54.374999999999993</v>
      </c>
      <c r="L325" t="s">
        <v>61</v>
      </c>
      <c r="M325">
        <v>5</v>
      </c>
      <c r="N325" t="s">
        <v>55</v>
      </c>
      <c r="O325">
        <v>16</v>
      </c>
      <c r="P325">
        <v>8</v>
      </c>
      <c r="Q325">
        <v>63</v>
      </c>
      <c r="R325" t="s">
        <v>30</v>
      </c>
      <c r="S325">
        <v>3</v>
      </c>
      <c r="T325" t="s">
        <v>52</v>
      </c>
      <c r="U325" t="s">
        <v>32</v>
      </c>
      <c r="V325">
        <v>1</v>
      </c>
      <c r="W325">
        <v>0</v>
      </c>
      <c r="X325">
        <v>0</v>
      </c>
      <c r="Y325">
        <v>8</v>
      </c>
      <c r="Z325" t="s">
        <v>33</v>
      </c>
    </row>
    <row r="326" spans="1:26" x14ac:dyDescent="0.3">
      <c r="A326" t="s">
        <v>126</v>
      </c>
      <c r="B326" t="s">
        <v>38</v>
      </c>
      <c r="C326">
        <v>31</v>
      </c>
      <c r="D326">
        <v>20</v>
      </c>
      <c r="E326">
        <v>54.838709677419352</v>
      </c>
      <c r="F326" t="b">
        <v>1</v>
      </c>
      <c r="G326">
        <v>46.8</v>
      </c>
      <c r="H326">
        <v>57.5</v>
      </c>
      <c r="J326">
        <v>32.799999999999997</v>
      </c>
      <c r="K326">
        <v>45.7</v>
      </c>
      <c r="L326" t="s">
        <v>61</v>
      </c>
      <c r="M326">
        <v>5</v>
      </c>
      <c r="N326" t="s">
        <v>55</v>
      </c>
      <c r="O326">
        <v>12</v>
      </c>
      <c r="P326">
        <v>8</v>
      </c>
      <c r="Q326">
        <v>41</v>
      </c>
      <c r="R326" t="s">
        <v>30</v>
      </c>
      <c r="S326">
        <v>3</v>
      </c>
      <c r="T326" t="s">
        <v>39</v>
      </c>
      <c r="U326" t="s">
        <v>32</v>
      </c>
      <c r="V326">
        <v>1</v>
      </c>
      <c r="W326">
        <v>0</v>
      </c>
      <c r="X326">
        <v>1</v>
      </c>
      <c r="Y326">
        <v>8</v>
      </c>
      <c r="Z326" t="s">
        <v>33</v>
      </c>
    </row>
    <row r="327" spans="1:26" x14ac:dyDescent="0.3">
      <c r="A327" t="s">
        <v>126</v>
      </c>
      <c r="B327" t="s">
        <v>57</v>
      </c>
      <c r="C327">
        <v>31</v>
      </c>
      <c r="D327">
        <v>17</v>
      </c>
      <c r="E327">
        <v>35.483870967741943</v>
      </c>
      <c r="F327" t="b">
        <v>1</v>
      </c>
      <c r="G327">
        <v>64.7</v>
      </c>
      <c r="H327">
        <v>71.7</v>
      </c>
      <c r="I327">
        <v>29.5</v>
      </c>
      <c r="J327">
        <v>52.5</v>
      </c>
      <c r="K327">
        <v>54.6</v>
      </c>
      <c r="L327" t="s">
        <v>61</v>
      </c>
      <c r="M327">
        <v>5</v>
      </c>
      <c r="N327" t="s">
        <v>55</v>
      </c>
      <c r="O327">
        <v>15</v>
      </c>
      <c r="P327">
        <v>12</v>
      </c>
      <c r="Q327">
        <v>43</v>
      </c>
      <c r="R327" t="s">
        <v>30</v>
      </c>
      <c r="S327">
        <v>4</v>
      </c>
      <c r="T327" t="s">
        <v>58</v>
      </c>
      <c r="U327" t="s">
        <v>32</v>
      </c>
      <c r="V327">
        <v>1</v>
      </c>
      <c r="W327">
        <v>0</v>
      </c>
      <c r="X327">
        <v>0</v>
      </c>
      <c r="Y327">
        <v>12</v>
      </c>
      <c r="Z327" t="s">
        <v>33</v>
      </c>
    </row>
    <row r="328" spans="1:26" x14ac:dyDescent="0.3">
      <c r="A328" t="s">
        <v>127</v>
      </c>
      <c r="B328" t="s">
        <v>27</v>
      </c>
      <c r="C328">
        <v>30</v>
      </c>
      <c r="D328">
        <v>11</v>
      </c>
      <c r="E328">
        <v>56.666666666666657</v>
      </c>
      <c r="F328" t="b">
        <v>1</v>
      </c>
      <c r="G328">
        <v>70.099999999999994</v>
      </c>
      <c r="H328">
        <v>67.099999999999994</v>
      </c>
      <c r="I328">
        <v>61.1</v>
      </c>
      <c r="J328">
        <v>56.7</v>
      </c>
      <c r="K328">
        <v>63.75</v>
      </c>
      <c r="L328" t="s">
        <v>49</v>
      </c>
      <c r="M328">
        <v>4</v>
      </c>
      <c r="N328" t="s">
        <v>55</v>
      </c>
      <c r="O328">
        <v>12</v>
      </c>
      <c r="P328">
        <v>13</v>
      </c>
      <c r="Q328">
        <v>40</v>
      </c>
      <c r="R328" t="s">
        <v>30</v>
      </c>
      <c r="S328">
        <v>4</v>
      </c>
      <c r="T328" t="s">
        <v>31</v>
      </c>
      <c r="U328" t="s">
        <v>36</v>
      </c>
      <c r="V328">
        <v>1</v>
      </c>
      <c r="W328">
        <v>0</v>
      </c>
      <c r="X328">
        <v>0</v>
      </c>
      <c r="Y328">
        <v>13</v>
      </c>
      <c r="Z328" t="s">
        <v>37</v>
      </c>
    </row>
    <row r="329" spans="1:26" x14ac:dyDescent="0.3">
      <c r="A329" t="s">
        <v>127</v>
      </c>
      <c r="B329" t="s">
        <v>34</v>
      </c>
      <c r="C329">
        <v>25</v>
      </c>
      <c r="D329">
        <v>17</v>
      </c>
      <c r="E329">
        <v>80</v>
      </c>
      <c r="F329" t="b">
        <v>1</v>
      </c>
      <c r="G329">
        <v>69.400000000000006</v>
      </c>
      <c r="H329">
        <v>66.099999999999994</v>
      </c>
      <c r="I329">
        <v>56</v>
      </c>
      <c r="J329">
        <v>68</v>
      </c>
      <c r="K329">
        <v>64.875</v>
      </c>
      <c r="L329" t="s">
        <v>49</v>
      </c>
      <c r="M329">
        <v>4</v>
      </c>
      <c r="N329" t="s">
        <v>55</v>
      </c>
      <c r="O329">
        <v>12</v>
      </c>
      <c r="P329">
        <v>8</v>
      </c>
      <c r="Q329">
        <v>44</v>
      </c>
      <c r="R329" t="s">
        <v>35</v>
      </c>
      <c r="S329">
        <v>2</v>
      </c>
      <c r="T329" t="s">
        <v>31</v>
      </c>
      <c r="U329" t="s">
        <v>36</v>
      </c>
      <c r="V329">
        <v>0</v>
      </c>
      <c r="W329">
        <v>0</v>
      </c>
      <c r="X329">
        <v>0</v>
      </c>
      <c r="Y329">
        <v>8</v>
      </c>
      <c r="Z329" t="s">
        <v>37</v>
      </c>
    </row>
    <row r="330" spans="1:26" x14ac:dyDescent="0.3">
      <c r="A330" t="s">
        <v>127</v>
      </c>
      <c r="B330" t="s">
        <v>57</v>
      </c>
      <c r="C330">
        <v>29</v>
      </c>
      <c r="D330">
        <v>20</v>
      </c>
      <c r="E330">
        <v>58.620689655172413</v>
      </c>
      <c r="F330" t="b">
        <v>1</v>
      </c>
      <c r="G330">
        <v>39.1</v>
      </c>
      <c r="H330">
        <v>55.1</v>
      </c>
      <c r="I330">
        <v>59.7</v>
      </c>
      <c r="J330">
        <v>64.900000000000006</v>
      </c>
      <c r="K330">
        <v>54.7</v>
      </c>
      <c r="L330" t="s">
        <v>49</v>
      </c>
      <c r="M330">
        <v>4</v>
      </c>
      <c r="N330" t="s">
        <v>55</v>
      </c>
      <c r="O330">
        <v>19</v>
      </c>
      <c r="P330">
        <v>6</v>
      </c>
      <c r="Q330">
        <v>61</v>
      </c>
      <c r="R330" t="s">
        <v>30</v>
      </c>
      <c r="S330">
        <v>4</v>
      </c>
      <c r="T330" t="s">
        <v>58</v>
      </c>
      <c r="U330" t="s">
        <v>32</v>
      </c>
      <c r="V330">
        <v>1</v>
      </c>
      <c r="W330">
        <v>0</v>
      </c>
      <c r="X330">
        <v>0</v>
      </c>
      <c r="Y330">
        <v>6</v>
      </c>
      <c r="Z330" t="s">
        <v>33</v>
      </c>
    </row>
    <row r="331" spans="1:26" x14ac:dyDescent="0.3">
      <c r="A331" t="s">
        <v>127</v>
      </c>
      <c r="B331" t="s">
        <v>42</v>
      </c>
      <c r="C331">
        <v>27</v>
      </c>
      <c r="D331">
        <v>17</v>
      </c>
      <c r="E331">
        <v>85.18518518518519</v>
      </c>
      <c r="F331" t="b">
        <v>1</v>
      </c>
      <c r="G331">
        <v>33.5</v>
      </c>
      <c r="H331">
        <v>65.599999999999994</v>
      </c>
      <c r="I331">
        <v>97.9</v>
      </c>
      <c r="J331">
        <v>76.3</v>
      </c>
      <c r="K331">
        <v>68.325000000000003</v>
      </c>
      <c r="L331" t="s">
        <v>49</v>
      </c>
      <c r="M331">
        <v>4</v>
      </c>
      <c r="N331" t="s">
        <v>55</v>
      </c>
      <c r="O331">
        <v>15</v>
      </c>
      <c r="P331">
        <v>10</v>
      </c>
      <c r="Q331">
        <v>40</v>
      </c>
      <c r="R331" t="s">
        <v>43</v>
      </c>
      <c r="S331">
        <v>3</v>
      </c>
      <c r="T331" t="s">
        <v>44</v>
      </c>
      <c r="U331" t="s">
        <v>36</v>
      </c>
      <c r="V331">
        <v>0</v>
      </c>
      <c r="W331">
        <v>0</v>
      </c>
      <c r="X331">
        <v>0</v>
      </c>
      <c r="Y331">
        <v>10</v>
      </c>
      <c r="Z331" t="s">
        <v>37</v>
      </c>
    </row>
    <row r="332" spans="1:26" x14ac:dyDescent="0.3">
      <c r="A332" t="s">
        <v>128</v>
      </c>
      <c r="B332" t="s">
        <v>27</v>
      </c>
      <c r="C332">
        <v>25</v>
      </c>
      <c r="D332">
        <v>23</v>
      </c>
      <c r="E332">
        <v>80</v>
      </c>
      <c r="F332" t="b">
        <v>1</v>
      </c>
      <c r="G332">
        <v>50.3</v>
      </c>
      <c r="H332">
        <v>57.9</v>
      </c>
      <c r="I332">
        <v>53.7</v>
      </c>
      <c r="J332">
        <v>39.700000000000003</v>
      </c>
      <c r="K332">
        <v>50.399999999999991</v>
      </c>
      <c r="L332" t="s">
        <v>61</v>
      </c>
      <c r="M332">
        <v>6</v>
      </c>
      <c r="N332" t="s">
        <v>50</v>
      </c>
      <c r="P332">
        <v>5</v>
      </c>
      <c r="R332" t="s">
        <v>30</v>
      </c>
      <c r="S332">
        <v>4</v>
      </c>
      <c r="T332" t="s">
        <v>31</v>
      </c>
      <c r="U332" t="s">
        <v>32</v>
      </c>
      <c r="V332">
        <v>0</v>
      </c>
      <c r="W332">
        <v>1</v>
      </c>
      <c r="X332">
        <v>0</v>
      </c>
      <c r="Y332">
        <v>5</v>
      </c>
      <c r="Z332" t="s">
        <v>37</v>
      </c>
    </row>
    <row r="333" spans="1:26" x14ac:dyDescent="0.3">
      <c r="A333" t="s">
        <v>128</v>
      </c>
      <c r="B333" t="s">
        <v>51</v>
      </c>
      <c r="C333">
        <v>40</v>
      </c>
      <c r="D333">
        <v>20</v>
      </c>
      <c r="E333">
        <v>37.5</v>
      </c>
      <c r="F333" t="b">
        <v>1</v>
      </c>
      <c r="G333">
        <v>31.9</v>
      </c>
      <c r="H333">
        <v>34.4</v>
      </c>
      <c r="I333">
        <v>61.3</v>
      </c>
      <c r="J333">
        <v>73.2</v>
      </c>
      <c r="K333">
        <v>50.2</v>
      </c>
      <c r="L333" t="s">
        <v>61</v>
      </c>
      <c r="M333">
        <v>6</v>
      </c>
      <c r="N333" t="s">
        <v>50</v>
      </c>
      <c r="O333">
        <v>12</v>
      </c>
      <c r="P333">
        <v>5</v>
      </c>
      <c r="Q333">
        <v>21</v>
      </c>
      <c r="R333" t="s">
        <v>30</v>
      </c>
      <c r="S333">
        <v>3</v>
      </c>
      <c r="T333" t="s">
        <v>52</v>
      </c>
      <c r="U333" t="s">
        <v>32</v>
      </c>
      <c r="V333">
        <v>1</v>
      </c>
      <c r="W333">
        <v>0</v>
      </c>
      <c r="X333">
        <v>0</v>
      </c>
      <c r="Y333">
        <v>5</v>
      </c>
      <c r="Z333" t="s">
        <v>33</v>
      </c>
    </row>
    <row r="334" spans="1:26" x14ac:dyDescent="0.3">
      <c r="A334" t="s">
        <v>128</v>
      </c>
      <c r="B334" t="s">
        <v>34</v>
      </c>
      <c r="C334">
        <v>26</v>
      </c>
      <c r="D334">
        <v>15</v>
      </c>
      <c r="E334">
        <v>50</v>
      </c>
      <c r="F334" t="b">
        <v>1</v>
      </c>
      <c r="G334">
        <v>39.6</v>
      </c>
      <c r="H334">
        <v>41.1</v>
      </c>
      <c r="I334">
        <v>26.5</v>
      </c>
      <c r="J334">
        <v>34.200000000000003</v>
      </c>
      <c r="K334">
        <v>35.35</v>
      </c>
      <c r="L334" t="s">
        <v>61</v>
      </c>
      <c r="M334">
        <v>6</v>
      </c>
      <c r="N334" t="s">
        <v>50</v>
      </c>
      <c r="O334">
        <v>10</v>
      </c>
      <c r="P334">
        <v>9</v>
      </c>
      <c r="Q334">
        <v>24</v>
      </c>
      <c r="R334" t="s">
        <v>35</v>
      </c>
      <c r="S334">
        <v>2</v>
      </c>
      <c r="T334" t="s">
        <v>31</v>
      </c>
      <c r="U334" t="s">
        <v>68</v>
      </c>
      <c r="V334">
        <v>1</v>
      </c>
      <c r="W334">
        <v>0</v>
      </c>
      <c r="X334">
        <v>0</v>
      </c>
      <c r="Y334">
        <v>9</v>
      </c>
      <c r="Z334" t="s">
        <v>33</v>
      </c>
    </row>
    <row r="335" spans="1:26" x14ac:dyDescent="0.3">
      <c r="A335" t="s">
        <v>128</v>
      </c>
      <c r="B335" t="s">
        <v>42</v>
      </c>
      <c r="C335">
        <v>25</v>
      </c>
      <c r="D335">
        <v>13</v>
      </c>
      <c r="E335">
        <v>60</v>
      </c>
      <c r="F335" t="b">
        <v>1</v>
      </c>
      <c r="G335">
        <v>52.6</v>
      </c>
      <c r="H335">
        <v>47.2</v>
      </c>
      <c r="I335">
        <v>43.6</v>
      </c>
      <c r="J335">
        <v>48.5</v>
      </c>
      <c r="K335">
        <v>47.975000000000001</v>
      </c>
      <c r="L335" t="s">
        <v>61</v>
      </c>
      <c r="M335">
        <v>6</v>
      </c>
      <c r="N335" t="s">
        <v>50</v>
      </c>
      <c r="O335">
        <v>10</v>
      </c>
      <c r="P335">
        <v>9</v>
      </c>
      <c r="Q335">
        <v>28</v>
      </c>
      <c r="R335" t="s">
        <v>43</v>
      </c>
      <c r="S335">
        <v>3</v>
      </c>
      <c r="T335" t="s">
        <v>44</v>
      </c>
      <c r="U335" t="s">
        <v>32</v>
      </c>
      <c r="V335">
        <v>1</v>
      </c>
      <c r="W335">
        <v>0</v>
      </c>
      <c r="X335">
        <v>0</v>
      </c>
      <c r="Y335">
        <v>9</v>
      </c>
      <c r="Z335" t="s">
        <v>33</v>
      </c>
    </row>
    <row r="336" spans="1:26" x14ac:dyDescent="0.3">
      <c r="A336" t="s">
        <v>128</v>
      </c>
      <c r="B336" t="s">
        <v>45</v>
      </c>
      <c r="C336">
        <v>25</v>
      </c>
      <c r="D336">
        <v>15</v>
      </c>
      <c r="E336">
        <v>40</v>
      </c>
      <c r="F336" t="b">
        <v>1</v>
      </c>
      <c r="G336">
        <v>45.2</v>
      </c>
      <c r="H336">
        <v>70.2</v>
      </c>
      <c r="I336">
        <v>53.6</v>
      </c>
      <c r="J336">
        <v>69.2</v>
      </c>
      <c r="K336">
        <v>59.55</v>
      </c>
      <c r="L336" t="s">
        <v>61</v>
      </c>
      <c r="M336">
        <v>6</v>
      </c>
      <c r="N336" t="s">
        <v>50</v>
      </c>
      <c r="O336">
        <v>11</v>
      </c>
      <c r="P336">
        <v>8</v>
      </c>
      <c r="Q336">
        <v>31</v>
      </c>
      <c r="R336" t="s">
        <v>46</v>
      </c>
      <c r="S336">
        <v>4</v>
      </c>
      <c r="T336" t="s">
        <v>47</v>
      </c>
      <c r="U336" t="s">
        <v>32</v>
      </c>
      <c r="V336">
        <v>1</v>
      </c>
      <c r="W336">
        <v>0</v>
      </c>
      <c r="X336">
        <v>0</v>
      </c>
      <c r="Y336">
        <v>8</v>
      </c>
      <c r="Z336" t="s">
        <v>33</v>
      </c>
    </row>
    <row r="337" spans="1:26" x14ac:dyDescent="0.3">
      <c r="A337" t="s">
        <v>129</v>
      </c>
      <c r="B337" t="s">
        <v>27</v>
      </c>
      <c r="C337">
        <v>34</v>
      </c>
      <c r="D337">
        <v>10</v>
      </c>
      <c r="E337">
        <v>52.941176470588239</v>
      </c>
      <c r="F337" t="b">
        <v>1</v>
      </c>
      <c r="G337">
        <v>73</v>
      </c>
      <c r="H337">
        <v>74.7</v>
      </c>
      <c r="I337">
        <v>72.099999999999994</v>
      </c>
      <c r="J337">
        <v>62.7</v>
      </c>
      <c r="K337">
        <v>70.625</v>
      </c>
      <c r="L337" t="s">
        <v>49</v>
      </c>
      <c r="M337">
        <v>4</v>
      </c>
      <c r="N337" t="s">
        <v>55</v>
      </c>
      <c r="O337">
        <v>13</v>
      </c>
      <c r="P337">
        <v>11</v>
      </c>
      <c r="Q337">
        <v>38</v>
      </c>
      <c r="R337" t="s">
        <v>30</v>
      </c>
      <c r="S337">
        <v>4</v>
      </c>
      <c r="T337" t="s">
        <v>31</v>
      </c>
      <c r="U337" t="s">
        <v>36</v>
      </c>
      <c r="V337">
        <v>1</v>
      </c>
      <c r="W337">
        <v>0</v>
      </c>
      <c r="X337">
        <v>0</v>
      </c>
      <c r="Y337">
        <v>11</v>
      </c>
      <c r="Z337" t="s">
        <v>37</v>
      </c>
    </row>
    <row r="338" spans="1:26" x14ac:dyDescent="0.3">
      <c r="A338" t="s">
        <v>129</v>
      </c>
      <c r="B338" t="s">
        <v>51</v>
      </c>
      <c r="C338">
        <v>24</v>
      </c>
      <c r="D338">
        <v>18</v>
      </c>
      <c r="E338">
        <v>70.833333333333343</v>
      </c>
      <c r="F338" t="b">
        <v>1</v>
      </c>
      <c r="G338">
        <v>76.8</v>
      </c>
      <c r="H338">
        <v>72.5</v>
      </c>
      <c r="I338">
        <v>64.5</v>
      </c>
      <c r="J338">
        <v>81.400000000000006</v>
      </c>
      <c r="K338">
        <v>73.800000000000011</v>
      </c>
      <c r="L338" t="s">
        <v>49</v>
      </c>
      <c r="M338">
        <v>4</v>
      </c>
      <c r="N338" t="s">
        <v>55</v>
      </c>
      <c r="O338">
        <v>20</v>
      </c>
      <c r="P338">
        <v>9</v>
      </c>
      <c r="Q338">
        <v>69</v>
      </c>
      <c r="R338" t="s">
        <v>30</v>
      </c>
      <c r="S338">
        <v>3</v>
      </c>
      <c r="T338" t="s">
        <v>52</v>
      </c>
      <c r="U338" t="s">
        <v>36</v>
      </c>
      <c r="V338">
        <v>1</v>
      </c>
      <c r="W338">
        <v>0</v>
      </c>
      <c r="X338">
        <v>0</v>
      </c>
      <c r="Y338">
        <v>9</v>
      </c>
      <c r="Z338" t="s">
        <v>37</v>
      </c>
    </row>
    <row r="339" spans="1:26" x14ac:dyDescent="0.3">
      <c r="A339" t="s">
        <v>129</v>
      </c>
      <c r="B339" t="s">
        <v>38</v>
      </c>
      <c r="C339">
        <v>33</v>
      </c>
      <c r="D339">
        <v>17</v>
      </c>
      <c r="E339">
        <v>48.484848484848477</v>
      </c>
      <c r="F339" t="b">
        <v>1</v>
      </c>
      <c r="G339">
        <v>65.3</v>
      </c>
      <c r="H339">
        <v>79</v>
      </c>
      <c r="I339">
        <v>74.2</v>
      </c>
      <c r="J339">
        <v>59.4</v>
      </c>
      <c r="K339">
        <v>69.474999999999994</v>
      </c>
      <c r="L339" t="s">
        <v>49</v>
      </c>
      <c r="M339">
        <v>4</v>
      </c>
      <c r="N339" t="s">
        <v>55</v>
      </c>
      <c r="O339">
        <v>9</v>
      </c>
      <c r="P339">
        <v>7</v>
      </c>
      <c r="Q339">
        <v>27</v>
      </c>
      <c r="R339" t="s">
        <v>30</v>
      </c>
      <c r="S339">
        <v>3</v>
      </c>
      <c r="T339" t="s">
        <v>39</v>
      </c>
      <c r="U339" t="s">
        <v>36</v>
      </c>
      <c r="V339">
        <v>1</v>
      </c>
      <c r="W339">
        <v>0</v>
      </c>
      <c r="X339">
        <v>0</v>
      </c>
      <c r="Y339">
        <v>7</v>
      </c>
      <c r="Z339" t="s">
        <v>37</v>
      </c>
    </row>
    <row r="340" spans="1:26" x14ac:dyDescent="0.3">
      <c r="A340" t="s">
        <v>129</v>
      </c>
      <c r="B340" t="s">
        <v>40</v>
      </c>
      <c r="C340">
        <v>32</v>
      </c>
      <c r="D340">
        <v>16</v>
      </c>
      <c r="E340">
        <v>78.125</v>
      </c>
      <c r="F340" t="b">
        <v>1</v>
      </c>
      <c r="G340">
        <v>74.7</v>
      </c>
      <c r="I340">
        <v>63.2</v>
      </c>
      <c r="J340">
        <v>68.3</v>
      </c>
      <c r="K340">
        <v>68.733333333333334</v>
      </c>
      <c r="L340" t="s">
        <v>49</v>
      </c>
      <c r="M340">
        <v>4</v>
      </c>
      <c r="N340" t="s">
        <v>55</v>
      </c>
      <c r="O340">
        <v>14</v>
      </c>
      <c r="P340">
        <v>7</v>
      </c>
      <c r="Q340">
        <v>40</v>
      </c>
      <c r="R340" t="s">
        <v>30</v>
      </c>
      <c r="S340">
        <v>3</v>
      </c>
      <c r="T340" t="s">
        <v>41</v>
      </c>
      <c r="U340" t="s">
        <v>36</v>
      </c>
      <c r="V340">
        <v>0</v>
      </c>
      <c r="W340">
        <v>0</v>
      </c>
      <c r="X340">
        <v>1</v>
      </c>
      <c r="Y340">
        <v>7</v>
      </c>
      <c r="Z340" t="s">
        <v>37</v>
      </c>
    </row>
    <row r="341" spans="1:26" x14ac:dyDescent="0.3">
      <c r="A341" t="s">
        <v>129</v>
      </c>
      <c r="B341" t="s">
        <v>57</v>
      </c>
      <c r="C341">
        <v>37</v>
      </c>
      <c r="D341">
        <v>25</v>
      </c>
      <c r="E341">
        <v>56.756756756756758</v>
      </c>
      <c r="F341" t="b">
        <v>1</v>
      </c>
      <c r="G341">
        <v>66.099999999999994</v>
      </c>
      <c r="H341">
        <v>75</v>
      </c>
      <c r="I341">
        <v>54.9</v>
      </c>
      <c r="J341">
        <v>76.400000000000006</v>
      </c>
      <c r="K341">
        <v>68.099999999999994</v>
      </c>
      <c r="L341" t="s">
        <v>49</v>
      </c>
      <c r="M341">
        <v>4</v>
      </c>
      <c r="N341" t="s">
        <v>55</v>
      </c>
      <c r="O341">
        <v>7</v>
      </c>
      <c r="P341">
        <v>8</v>
      </c>
      <c r="Q341">
        <v>32</v>
      </c>
      <c r="R341" t="s">
        <v>30</v>
      </c>
      <c r="S341">
        <v>4</v>
      </c>
      <c r="T341" t="s">
        <v>58</v>
      </c>
      <c r="U341" t="s">
        <v>36</v>
      </c>
      <c r="V341">
        <v>1</v>
      </c>
      <c r="W341">
        <v>0</v>
      </c>
      <c r="X341">
        <v>0</v>
      </c>
      <c r="Y341">
        <v>8</v>
      </c>
      <c r="Z341" t="s">
        <v>37</v>
      </c>
    </row>
    <row r="342" spans="1:26" x14ac:dyDescent="0.3">
      <c r="A342" t="s">
        <v>130</v>
      </c>
      <c r="B342" t="s">
        <v>27</v>
      </c>
      <c r="C342">
        <v>39</v>
      </c>
      <c r="D342">
        <v>21</v>
      </c>
      <c r="E342">
        <v>61.53846153846154</v>
      </c>
      <c r="F342" t="b">
        <v>1</v>
      </c>
      <c r="G342">
        <v>50.1</v>
      </c>
      <c r="H342">
        <v>65.599999999999994</v>
      </c>
      <c r="I342">
        <v>62</v>
      </c>
      <c r="J342">
        <v>63.1</v>
      </c>
      <c r="K342">
        <v>60.2</v>
      </c>
      <c r="L342" t="s">
        <v>54</v>
      </c>
      <c r="M342">
        <v>3</v>
      </c>
      <c r="N342" t="s">
        <v>55</v>
      </c>
      <c r="O342">
        <v>15</v>
      </c>
      <c r="P342">
        <v>7</v>
      </c>
      <c r="Q342">
        <v>35</v>
      </c>
      <c r="R342" t="s">
        <v>30</v>
      </c>
      <c r="S342">
        <v>4</v>
      </c>
      <c r="T342" t="s">
        <v>31</v>
      </c>
      <c r="U342" t="s">
        <v>36</v>
      </c>
      <c r="V342">
        <v>1</v>
      </c>
      <c r="W342">
        <v>0</v>
      </c>
      <c r="X342">
        <v>0</v>
      </c>
      <c r="Y342">
        <v>7</v>
      </c>
      <c r="Z342" t="s">
        <v>37</v>
      </c>
    </row>
    <row r="343" spans="1:26" x14ac:dyDescent="0.3">
      <c r="A343" t="s">
        <v>130</v>
      </c>
      <c r="B343" t="s">
        <v>34</v>
      </c>
      <c r="C343">
        <v>26</v>
      </c>
      <c r="D343">
        <v>24</v>
      </c>
      <c r="E343">
        <v>76.923076923076934</v>
      </c>
      <c r="F343" t="b">
        <v>1</v>
      </c>
      <c r="G343">
        <v>46.2</v>
      </c>
      <c r="H343">
        <v>59.7</v>
      </c>
      <c r="I343">
        <v>36.299999999999997</v>
      </c>
      <c r="J343">
        <v>67.5</v>
      </c>
      <c r="K343">
        <v>52.424999999999997</v>
      </c>
      <c r="L343" t="s">
        <v>54</v>
      </c>
      <c r="M343">
        <v>3</v>
      </c>
      <c r="N343" t="s">
        <v>55</v>
      </c>
      <c r="O343">
        <v>20</v>
      </c>
      <c r="P343">
        <v>9</v>
      </c>
      <c r="Q343">
        <v>62</v>
      </c>
      <c r="R343" t="s">
        <v>35</v>
      </c>
      <c r="S343">
        <v>2</v>
      </c>
      <c r="T343" t="s">
        <v>31</v>
      </c>
      <c r="U343" t="s">
        <v>32</v>
      </c>
      <c r="V343">
        <v>0</v>
      </c>
      <c r="W343">
        <v>0</v>
      </c>
      <c r="X343">
        <v>0</v>
      </c>
      <c r="Y343">
        <v>9</v>
      </c>
      <c r="Z343" t="s">
        <v>37</v>
      </c>
    </row>
    <row r="344" spans="1:26" x14ac:dyDescent="0.3">
      <c r="A344" t="s">
        <v>130</v>
      </c>
      <c r="B344" t="s">
        <v>40</v>
      </c>
      <c r="C344">
        <v>24</v>
      </c>
      <c r="D344">
        <v>20</v>
      </c>
      <c r="E344">
        <v>50</v>
      </c>
      <c r="F344" t="b">
        <v>1</v>
      </c>
      <c r="G344">
        <v>51.2</v>
      </c>
      <c r="H344">
        <v>62.9</v>
      </c>
      <c r="I344">
        <v>31.2</v>
      </c>
      <c r="J344">
        <v>55.5</v>
      </c>
      <c r="K344">
        <v>50.2</v>
      </c>
      <c r="L344" t="s">
        <v>54</v>
      </c>
      <c r="M344">
        <v>3</v>
      </c>
      <c r="N344" t="s">
        <v>55</v>
      </c>
      <c r="O344">
        <v>10</v>
      </c>
      <c r="P344">
        <v>7</v>
      </c>
      <c r="Q344">
        <v>32</v>
      </c>
      <c r="R344" t="s">
        <v>30</v>
      </c>
      <c r="S344">
        <v>3</v>
      </c>
      <c r="T344" t="s">
        <v>41</v>
      </c>
      <c r="U344" t="s">
        <v>32</v>
      </c>
      <c r="V344">
        <v>1</v>
      </c>
      <c r="W344">
        <v>0</v>
      </c>
      <c r="X344">
        <v>0</v>
      </c>
      <c r="Y344">
        <v>7</v>
      </c>
      <c r="Z344" t="s">
        <v>33</v>
      </c>
    </row>
    <row r="345" spans="1:26" x14ac:dyDescent="0.3">
      <c r="A345" t="s">
        <v>130</v>
      </c>
      <c r="B345" t="s">
        <v>42</v>
      </c>
      <c r="C345">
        <v>26</v>
      </c>
      <c r="D345">
        <v>12</v>
      </c>
      <c r="E345">
        <v>65.384615384615387</v>
      </c>
      <c r="F345" t="b">
        <v>1</v>
      </c>
      <c r="G345">
        <v>60.3</v>
      </c>
      <c r="H345">
        <v>50.7</v>
      </c>
      <c r="I345">
        <v>37.1</v>
      </c>
      <c r="J345">
        <v>43.9</v>
      </c>
      <c r="K345">
        <v>48</v>
      </c>
      <c r="L345" t="s">
        <v>54</v>
      </c>
      <c r="M345">
        <v>3</v>
      </c>
      <c r="N345" t="s">
        <v>55</v>
      </c>
      <c r="O345">
        <v>18</v>
      </c>
      <c r="P345">
        <v>10</v>
      </c>
      <c r="Q345">
        <v>55</v>
      </c>
      <c r="R345" t="s">
        <v>43</v>
      </c>
      <c r="S345">
        <v>3</v>
      </c>
      <c r="T345" t="s">
        <v>44</v>
      </c>
      <c r="U345" t="s">
        <v>32</v>
      </c>
      <c r="V345">
        <v>1</v>
      </c>
      <c r="W345">
        <v>0</v>
      </c>
      <c r="X345">
        <v>0</v>
      </c>
      <c r="Y345">
        <v>10</v>
      </c>
      <c r="Z345" t="s">
        <v>33</v>
      </c>
    </row>
    <row r="346" spans="1:26" x14ac:dyDescent="0.3">
      <c r="A346" t="s">
        <v>130</v>
      </c>
      <c r="B346" t="s">
        <v>45</v>
      </c>
      <c r="C346">
        <v>34</v>
      </c>
      <c r="D346">
        <v>17</v>
      </c>
      <c r="E346">
        <v>79.411764705882348</v>
      </c>
      <c r="F346" t="b">
        <v>1</v>
      </c>
      <c r="G346">
        <v>51</v>
      </c>
      <c r="H346">
        <v>72.5</v>
      </c>
      <c r="I346">
        <v>63.9</v>
      </c>
      <c r="J346">
        <v>56.5</v>
      </c>
      <c r="K346">
        <v>60.975000000000001</v>
      </c>
      <c r="L346" t="s">
        <v>54</v>
      </c>
      <c r="M346">
        <v>3</v>
      </c>
      <c r="N346" t="s">
        <v>55</v>
      </c>
      <c r="O346">
        <v>18</v>
      </c>
      <c r="P346">
        <v>8</v>
      </c>
      <c r="Q346">
        <v>56</v>
      </c>
      <c r="R346" t="s">
        <v>46</v>
      </c>
      <c r="S346">
        <v>4</v>
      </c>
      <c r="T346" t="s">
        <v>47</v>
      </c>
      <c r="U346" t="s">
        <v>36</v>
      </c>
      <c r="V346">
        <v>0</v>
      </c>
      <c r="W346">
        <v>0</v>
      </c>
      <c r="X346">
        <v>0</v>
      </c>
      <c r="Y346">
        <v>8</v>
      </c>
      <c r="Z346" t="s">
        <v>37</v>
      </c>
    </row>
    <row r="347" spans="1:26" x14ac:dyDescent="0.3">
      <c r="A347" t="s">
        <v>131</v>
      </c>
      <c r="B347" t="s">
        <v>51</v>
      </c>
      <c r="C347">
        <v>39</v>
      </c>
      <c r="D347">
        <v>27</v>
      </c>
      <c r="E347">
        <v>46.153846153846153</v>
      </c>
      <c r="F347" t="b">
        <v>1</v>
      </c>
      <c r="G347">
        <v>47.6</v>
      </c>
      <c r="H347">
        <v>50</v>
      </c>
      <c r="I347">
        <v>44.1</v>
      </c>
      <c r="J347">
        <v>40.5</v>
      </c>
      <c r="K347">
        <v>45.55</v>
      </c>
      <c r="L347" t="s">
        <v>61</v>
      </c>
      <c r="M347">
        <v>6</v>
      </c>
      <c r="N347" t="s">
        <v>55</v>
      </c>
      <c r="O347">
        <v>10</v>
      </c>
      <c r="P347">
        <v>7</v>
      </c>
      <c r="Q347">
        <v>37</v>
      </c>
      <c r="R347" t="s">
        <v>30</v>
      </c>
      <c r="S347">
        <v>3</v>
      </c>
      <c r="T347" t="s">
        <v>52</v>
      </c>
      <c r="U347" t="s">
        <v>32</v>
      </c>
      <c r="V347">
        <v>1</v>
      </c>
      <c r="W347">
        <v>0</v>
      </c>
      <c r="X347">
        <v>0</v>
      </c>
      <c r="Y347">
        <v>7</v>
      </c>
      <c r="Z347" t="s">
        <v>33</v>
      </c>
    </row>
    <row r="348" spans="1:26" x14ac:dyDescent="0.3">
      <c r="A348" t="s">
        <v>131</v>
      </c>
      <c r="B348" t="s">
        <v>38</v>
      </c>
      <c r="C348">
        <v>34</v>
      </c>
      <c r="D348">
        <v>18</v>
      </c>
      <c r="E348">
        <v>58.82352941176471</v>
      </c>
      <c r="F348" t="b">
        <v>1</v>
      </c>
      <c r="G348">
        <v>35.700000000000003</v>
      </c>
      <c r="H348">
        <v>52.1</v>
      </c>
      <c r="I348">
        <v>47.6</v>
      </c>
      <c r="J348">
        <v>41.7</v>
      </c>
      <c r="K348">
        <v>44.275000000000013</v>
      </c>
      <c r="L348" t="s">
        <v>61</v>
      </c>
      <c r="M348">
        <v>6</v>
      </c>
      <c r="N348" t="s">
        <v>55</v>
      </c>
      <c r="O348">
        <v>17</v>
      </c>
      <c r="P348">
        <v>12</v>
      </c>
      <c r="Q348">
        <v>50</v>
      </c>
      <c r="R348" t="s">
        <v>30</v>
      </c>
      <c r="S348">
        <v>3</v>
      </c>
      <c r="T348" t="s">
        <v>39</v>
      </c>
      <c r="U348" t="s">
        <v>32</v>
      </c>
      <c r="V348">
        <v>1</v>
      </c>
      <c r="W348">
        <v>0</v>
      </c>
      <c r="X348">
        <v>0</v>
      </c>
      <c r="Y348">
        <v>12</v>
      </c>
      <c r="Z348" t="s">
        <v>33</v>
      </c>
    </row>
    <row r="349" spans="1:26" x14ac:dyDescent="0.3">
      <c r="A349" t="s">
        <v>131</v>
      </c>
      <c r="B349" t="s">
        <v>40</v>
      </c>
      <c r="C349">
        <v>32</v>
      </c>
      <c r="D349">
        <v>20</v>
      </c>
      <c r="E349">
        <v>65.625</v>
      </c>
      <c r="F349" t="b">
        <v>1</v>
      </c>
      <c r="G349">
        <v>49.1</v>
      </c>
      <c r="H349">
        <v>57.8</v>
      </c>
      <c r="I349">
        <v>63.2</v>
      </c>
      <c r="J349">
        <v>51.4</v>
      </c>
      <c r="K349">
        <v>55.375000000000007</v>
      </c>
      <c r="L349" t="s">
        <v>61</v>
      </c>
      <c r="M349">
        <v>6</v>
      </c>
      <c r="N349" t="s">
        <v>55</v>
      </c>
      <c r="O349">
        <v>13</v>
      </c>
      <c r="P349">
        <v>8</v>
      </c>
      <c r="Q349">
        <v>47</v>
      </c>
      <c r="R349" t="s">
        <v>30</v>
      </c>
      <c r="S349">
        <v>3</v>
      </c>
      <c r="T349" t="s">
        <v>41</v>
      </c>
      <c r="U349" t="s">
        <v>32</v>
      </c>
      <c r="V349">
        <v>1</v>
      </c>
      <c r="W349">
        <v>0</v>
      </c>
      <c r="X349">
        <v>0</v>
      </c>
      <c r="Y349">
        <v>8</v>
      </c>
      <c r="Z349" t="s">
        <v>33</v>
      </c>
    </row>
    <row r="350" spans="1:26" x14ac:dyDescent="0.3">
      <c r="A350" t="s">
        <v>131</v>
      </c>
      <c r="B350" t="s">
        <v>42</v>
      </c>
      <c r="C350">
        <v>32</v>
      </c>
      <c r="D350">
        <v>21</v>
      </c>
      <c r="E350">
        <v>56.25</v>
      </c>
      <c r="F350" t="b">
        <v>1</v>
      </c>
      <c r="G350">
        <v>20.3</v>
      </c>
      <c r="H350">
        <v>49.7</v>
      </c>
      <c r="I350">
        <v>42.7</v>
      </c>
      <c r="J350">
        <v>52.5</v>
      </c>
      <c r="K350">
        <v>41.3</v>
      </c>
      <c r="L350" t="s">
        <v>61</v>
      </c>
      <c r="M350">
        <v>6</v>
      </c>
      <c r="N350" t="s">
        <v>55</v>
      </c>
      <c r="O350">
        <v>23</v>
      </c>
      <c r="P350">
        <v>5</v>
      </c>
      <c r="Q350">
        <v>54</v>
      </c>
      <c r="R350" t="s">
        <v>43</v>
      </c>
      <c r="S350">
        <v>3</v>
      </c>
      <c r="T350" t="s">
        <v>44</v>
      </c>
      <c r="U350" t="s">
        <v>32</v>
      </c>
      <c r="V350">
        <v>1</v>
      </c>
      <c r="W350">
        <v>0</v>
      </c>
      <c r="X350">
        <v>0</v>
      </c>
      <c r="Y350">
        <v>5</v>
      </c>
      <c r="Z350" t="s">
        <v>33</v>
      </c>
    </row>
    <row r="351" spans="1:26" x14ac:dyDescent="0.3">
      <c r="A351" t="s">
        <v>131</v>
      </c>
      <c r="B351" t="s">
        <v>45</v>
      </c>
      <c r="C351">
        <v>24</v>
      </c>
      <c r="D351">
        <v>18</v>
      </c>
      <c r="E351">
        <v>54.166666666666657</v>
      </c>
      <c r="F351" t="b">
        <v>1</v>
      </c>
      <c r="G351">
        <v>58.3</v>
      </c>
      <c r="H351">
        <v>51.7</v>
      </c>
      <c r="I351">
        <v>51.3</v>
      </c>
      <c r="J351">
        <v>49.8</v>
      </c>
      <c r="K351">
        <v>52.775000000000013</v>
      </c>
      <c r="L351" t="s">
        <v>61</v>
      </c>
      <c r="M351">
        <v>6</v>
      </c>
      <c r="N351" t="s">
        <v>55</v>
      </c>
      <c r="O351">
        <v>19</v>
      </c>
      <c r="P351">
        <v>9</v>
      </c>
      <c r="Q351">
        <v>62</v>
      </c>
      <c r="R351" t="s">
        <v>46</v>
      </c>
      <c r="S351">
        <v>4</v>
      </c>
      <c r="T351" t="s">
        <v>47</v>
      </c>
      <c r="U351" t="s">
        <v>32</v>
      </c>
      <c r="V351">
        <v>1</v>
      </c>
      <c r="W351">
        <v>0</v>
      </c>
      <c r="X351">
        <v>0</v>
      </c>
      <c r="Y351">
        <v>9</v>
      </c>
      <c r="Z351" t="s">
        <v>33</v>
      </c>
    </row>
    <row r="352" spans="1:26" x14ac:dyDescent="0.3">
      <c r="A352" t="s">
        <v>132</v>
      </c>
      <c r="B352" t="s">
        <v>27</v>
      </c>
      <c r="C352">
        <v>35</v>
      </c>
      <c r="D352">
        <v>13</v>
      </c>
      <c r="E352">
        <v>45.714285714285722</v>
      </c>
      <c r="F352" t="b">
        <v>1</v>
      </c>
      <c r="G352">
        <v>35.9</v>
      </c>
      <c r="H352">
        <v>33</v>
      </c>
      <c r="I352">
        <v>10.1</v>
      </c>
      <c r="J352">
        <v>39.200000000000003</v>
      </c>
      <c r="K352">
        <v>29.55</v>
      </c>
      <c r="L352" t="s">
        <v>61</v>
      </c>
      <c r="M352">
        <v>3</v>
      </c>
      <c r="N352" t="s">
        <v>55</v>
      </c>
      <c r="O352">
        <v>18</v>
      </c>
      <c r="P352">
        <v>11</v>
      </c>
      <c r="Q352">
        <v>53</v>
      </c>
      <c r="R352" t="s">
        <v>30</v>
      </c>
      <c r="S352">
        <v>4</v>
      </c>
      <c r="T352" t="s">
        <v>31</v>
      </c>
      <c r="U352" t="s">
        <v>68</v>
      </c>
      <c r="V352">
        <v>1</v>
      </c>
      <c r="W352">
        <v>0</v>
      </c>
      <c r="X352">
        <v>0</v>
      </c>
      <c r="Y352">
        <v>11</v>
      </c>
      <c r="Z352" t="s">
        <v>33</v>
      </c>
    </row>
    <row r="353" spans="1:26" x14ac:dyDescent="0.3">
      <c r="A353" t="s">
        <v>132</v>
      </c>
      <c r="B353" t="s">
        <v>51</v>
      </c>
      <c r="C353">
        <v>26</v>
      </c>
      <c r="D353">
        <v>16</v>
      </c>
      <c r="E353">
        <v>34.615384615384613</v>
      </c>
      <c r="F353" t="b">
        <v>1</v>
      </c>
      <c r="G353">
        <v>12.6</v>
      </c>
      <c r="H353">
        <v>44.3</v>
      </c>
      <c r="I353">
        <v>43.2</v>
      </c>
      <c r="J353">
        <v>44.7</v>
      </c>
      <c r="K353">
        <v>36.200000000000003</v>
      </c>
      <c r="L353" t="s">
        <v>61</v>
      </c>
      <c r="M353">
        <v>3</v>
      </c>
      <c r="N353" t="s">
        <v>55</v>
      </c>
      <c r="O353">
        <v>12</v>
      </c>
      <c r="P353">
        <v>8</v>
      </c>
      <c r="Q353">
        <v>43</v>
      </c>
      <c r="R353" t="s">
        <v>30</v>
      </c>
      <c r="S353">
        <v>3</v>
      </c>
      <c r="T353" t="s">
        <v>52</v>
      </c>
      <c r="U353" t="s">
        <v>68</v>
      </c>
      <c r="V353">
        <v>1</v>
      </c>
      <c r="W353">
        <v>0</v>
      </c>
      <c r="X353">
        <v>0</v>
      </c>
      <c r="Y353">
        <v>8</v>
      </c>
      <c r="Z353" t="s">
        <v>33</v>
      </c>
    </row>
    <row r="354" spans="1:26" x14ac:dyDescent="0.3">
      <c r="A354" t="s">
        <v>132</v>
      </c>
      <c r="B354" t="s">
        <v>38</v>
      </c>
      <c r="C354">
        <v>36</v>
      </c>
      <c r="D354">
        <v>9</v>
      </c>
      <c r="E354">
        <v>38.888888888888893</v>
      </c>
      <c r="F354" t="b">
        <v>1</v>
      </c>
      <c r="G354">
        <v>31.9</v>
      </c>
      <c r="H354">
        <v>27.3</v>
      </c>
      <c r="I354">
        <v>22.3</v>
      </c>
      <c r="J354">
        <v>52.2</v>
      </c>
      <c r="K354">
        <v>33.424999999999997</v>
      </c>
      <c r="L354" t="s">
        <v>61</v>
      </c>
      <c r="M354">
        <v>3</v>
      </c>
      <c r="N354" t="s">
        <v>55</v>
      </c>
      <c r="O354">
        <v>14</v>
      </c>
      <c r="P354">
        <v>5</v>
      </c>
      <c r="Q354">
        <v>48</v>
      </c>
      <c r="R354" t="s">
        <v>30</v>
      </c>
      <c r="S354">
        <v>3</v>
      </c>
      <c r="T354" t="s">
        <v>39</v>
      </c>
      <c r="U354" t="s">
        <v>68</v>
      </c>
      <c r="V354">
        <v>1</v>
      </c>
      <c r="W354">
        <v>0</v>
      </c>
      <c r="X354">
        <v>0</v>
      </c>
      <c r="Y354">
        <v>5</v>
      </c>
      <c r="Z354" t="s">
        <v>33</v>
      </c>
    </row>
    <row r="355" spans="1:26" x14ac:dyDescent="0.3">
      <c r="A355" t="s">
        <v>132</v>
      </c>
      <c r="B355" t="s">
        <v>40</v>
      </c>
      <c r="C355">
        <v>35</v>
      </c>
      <c r="D355">
        <v>14</v>
      </c>
      <c r="E355">
        <v>40</v>
      </c>
      <c r="F355" t="b">
        <v>1</v>
      </c>
      <c r="G355">
        <v>24.1</v>
      </c>
      <c r="H355">
        <v>32.700000000000003</v>
      </c>
      <c r="I355">
        <v>47.6</v>
      </c>
      <c r="J355">
        <v>49.5</v>
      </c>
      <c r="K355">
        <v>38.475000000000001</v>
      </c>
      <c r="L355" t="s">
        <v>61</v>
      </c>
      <c r="M355">
        <v>3</v>
      </c>
      <c r="N355" t="s">
        <v>55</v>
      </c>
      <c r="O355">
        <v>10</v>
      </c>
      <c r="P355">
        <v>5</v>
      </c>
      <c r="Q355">
        <v>32</v>
      </c>
      <c r="R355" t="s">
        <v>30</v>
      </c>
      <c r="S355">
        <v>3</v>
      </c>
      <c r="T355" t="s">
        <v>41</v>
      </c>
      <c r="U355" t="s">
        <v>68</v>
      </c>
      <c r="V355">
        <v>1</v>
      </c>
      <c r="W355">
        <v>0</v>
      </c>
      <c r="X355">
        <v>0</v>
      </c>
      <c r="Y355">
        <v>5</v>
      </c>
      <c r="Z355" t="s">
        <v>33</v>
      </c>
    </row>
    <row r="356" spans="1:26" x14ac:dyDescent="0.3">
      <c r="A356" t="s">
        <v>132</v>
      </c>
      <c r="B356" t="s">
        <v>42</v>
      </c>
      <c r="C356">
        <v>25</v>
      </c>
      <c r="D356">
        <v>14</v>
      </c>
      <c r="E356">
        <v>40</v>
      </c>
      <c r="F356" t="b">
        <v>1</v>
      </c>
      <c r="G356">
        <v>36.1</v>
      </c>
      <c r="H356">
        <v>53.1</v>
      </c>
      <c r="I356">
        <v>4.4000000000000004</v>
      </c>
      <c r="J356">
        <v>58.8</v>
      </c>
      <c r="K356">
        <v>38.1</v>
      </c>
      <c r="L356" t="s">
        <v>61</v>
      </c>
      <c r="M356">
        <v>3</v>
      </c>
      <c r="N356" t="s">
        <v>55</v>
      </c>
      <c r="O356">
        <v>21</v>
      </c>
      <c r="P356">
        <v>7</v>
      </c>
      <c r="Q356">
        <v>63</v>
      </c>
      <c r="R356" t="s">
        <v>43</v>
      </c>
      <c r="S356">
        <v>3</v>
      </c>
      <c r="T356" t="s">
        <v>44</v>
      </c>
      <c r="U356" t="s">
        <v>68</v>
      </c>
      <c r="V356">
        <v>1</v>
      </c>
      <c r="W356">
        <v>0</v>
      </c>
      <c r="X356">
        <v>0</v>
      </c>
      <c r="Y356">
        <v>7</v>
      </c>
      <c r="Z356" t="s">
        <v>33</v>
      </c>
    </row>
    <row r="357" spans="1:26" x14ac:dyDescent="0.3">
      <c r="A357" t="s">
        <v>132</v>
      </c>
      <c r="B357" t="s">
        <v>45</v>
      </c>
      <c r="C357">
        <v>25</v>
      </c>
      <c r="D357">
        <v>10</v>
      </c>
      <c r="E357">
        <v>60</v>
      </c>
      <c r="F357" t="b">
        <v>1</v>
      </c>
      <c r="G357">
        <v>30.3</v>
      </c>
      <c r="H357">
        <v>38.5</v>
      </c>
      <c r="I357">
        <v>22.8</v>
      </c>
      <c r="J357">
        <v>42.1</v>
      </c>
      <c r="K357">
        <v>33.424999999999997</v>
      </c>
      <c r="L357" t="s">
        <v>61</v>
      </c>
      <c r="M357">
        <v>3</v>
      </c>
      <c r="N357" t="s">
        <v>55</v>
      </c>
      <c r="O357">
        <v>13</v>
      </c>
      <c r="P357">
        <v>6</v>
      </c>
      <c r="Q357">
        <v>35</v>
      </c>
      <c r="R357" t="s">
        <v>46</v>
      </c>
      <c r="S357">
        <v>4</v>
      </c>
      <c r="T357" t="s">
        <v>47</v>
      </c>
      <c r="U357" t="s">
        <v>68</v>
      </c>
      <c r="V357">
        <v>1</v>
      </c>
      <c r="W357">
        <v>0</v>
      </c>
      <c r="X357">
        <v>0</v>
      </c>
      <c r="Y357">
        <v>6</v>
      </c>
      <c r="Z357" t="s">
        <v>33</v>
      </c>
    </row>
    <row r="358" spans="1:26" x14ac:dyDescent="0.3">
      <c r="A358" t="s">
        <v>133</v>
      </c>
      <c r="B358" t="s">
        <v>34</v>
      </c>
      <c r="C358">
        <v>26</v>
      </c>
      <c r="D358">
        <v>15</v>
      </c>
      <c r="E358">
        <v>57.692307692307693</v>
      </c>
      <c r="F358" t="b">
        <v>1</v>
      </c>
      <c r="G358">
        <v>51</v>
      </c>
      <c r="H358">
        <v>59.4</v>
      </c>
      <c r="I358">
        <v>61.3</v>
      </c>
      <c r="K358">
        <v>57.233333333333327</v>
      </c>
      <c r="L358" t="s">
        <v>61</v>
      </c>
      <c r="M358">
        <v>3</v>
      </c>
      <c r="N358" t="s">
        <v>55</v>
      </c>
      <c r="O358">
        <v>22</v>
      </c>
      <c r="P358">
        <v>10</v>
      </c>
      <c r="Q358">
        <v>60</v>
      </c>
      <c r="R358" t="s">
        <v>35</v>
      </c>
      <c r="S358">
        <v>2</v>
      </c>
      <c r="T358" t="s">
        <v>31</v>
      </c>
      <c r="U358" t="s">
        <v>32</v>
      </c>
      <c r="V358">
        <v>1</v>
      </c>
      <c r="W358">
        <v>0</v>
      </c>
      <c r="X358">
        <v>1</v>
      </c>
      <c r="Y358">
        <v>10</v>
      </c>
      <c r="Z358" t="s">
        <v>33</v>
      </c>
    </row>
    <row r="359" spans="1:26" x14ac:dyDescent="0.3">
      <c r="A359" t="s">
        <v>133</v>
      </c>
      <c r="B359" t="s">
        <v>38</v>
      </c>
      <c r="C359">
        <v>38</v>
      </c>
      <c r="D359">
        <v>15</v>
      </c>
      <c r="E359">
        <v>39.473684210526322</v>
      </c>
      <c r="F359" t="b">
        <v>1</v>
      </c>
      <c r="G359">
        <v>87.5</v>
      </c>
      <c r="H359">
        <v>67.400000000000006</v>
      </c>
      <c r="J359">
        <v>67</v>
      </c>
      <c r="K359">
        <v>73.966666666666669</v>
      </c>
      <c r="L359" t="s">
        <v>61</v>
      </c>
      <c r="M359">
        <v>3</v>
      </c>
      <c r="N359" t="s">
        <v>55</v>
      </c>
      <c r="O359">
        <v>23</v>
      </c>
      <c r="P359">
        <v>9</v>
      </c>
      <c r="Q359">
        <v>54</v>
      </c>
      <c r="R359" t="s">
        <v>30</v>
      </c>
      <c r="S359">
        <v>3</v>
      </c>
      <c r="T359" t="s">
        <v>39</v>
      </c>
      <c r="U359" t="s">
        <v>36</v>
      </c>
      <c r="V359">
        <v>1</v>
      </c>
      <c r="W359">
        <v>0</v>
      </c>
      <c r="X359">
        <v>1</v>
      </c>
      <c r="Y359">
        <v>9</v>
      </c>
      <c r="Z359" t="s">
        <v>37</v>
      </c>
    </row>
    <row r="360" spans="1:26" x14ac:dyDescent="0.3">
      <c r="A360" t="s">
        <v>133</v>
      </c>
      <c r="B360" t="s">
        <v>57</v>
      </c>
      <c r="C360">
        <v>32</v>
      </c>
      <c r="D360">
        <v>15</v>
      </c>
      <c r="E360">
        <v>50</v>
      </c>
      <c r="F360" t="b">
        <v>1</v>
      </c>
      <c r="G360">
        <v>46.5</v>
      </c>
      <c r="H360">
        <v>59.3</v>
      </c>
      <c r="I360">
        <v>63.1</v>
      </c>
      <c r="J360">
        <v>69.400000000000006</v>
      </c>
      <c r="K360">
        <v>59.575000000000003</v>
      </c>
      <c r="L360" t="s">
        <v>61</v>
      </c>
      <c r="M360">
        <v>3</v>
      </c>
      <c r="N360" t="s">
        <v>55</v>
      </c>
      <c r="O360">
        <v>6</v>
      </c>
      <c r="P360">
        <v>7</v>
      </c>
      <c r="Q360">
        <v>42</v>
      </c>
      <c r="R360" t="s">
        <v>30</v>
      </c>
      <c r="S360">
        <v>4</v>
      </c>
      <c r="T360" t="s">
        <v>58</v>
      </c>
      <c r="U360" t="s">
        <v>32</v>
      </c>
      <c r="V360">
        <v>1</v>
      </c>
      <c r="W360">
        <v>0</v>
      </c>
      <c r="X360">
        <v>0</v>
      </c>
      <c r="Y360">
        <v>7</v>
      </c>
      <c r="Z360" t="s">
        <v>33</v>
      </c>
    </row>
    <row r="361" spans="1:26" x14ac:dyDescent="0.3">
      <c r="A361" t="s">
        <v>133</v>
      </c>
      <c r="B361" t="s">
        <v>42</v>
      </c>
      <c r="C361">
        <v>40</v>
      </c>
      <c r="D361">
        <v>16</v>
      </c>
      <c r="E361">
        <v>62.5</v>
      </c>
      <c r="F361" t="b">
        <v>1</v>
      </c>
      <c r="G361">
        <v>84.3</v>
      </c>
      <c r="H361">
        <v>60.7</v>
      </c>
      <c r="I361">
        <v>59.4</v>
      </c>
      <c r="J361">
        <v>66.599999999999994</v>
      </c>
      <c r="K361">
        <v>67.75</v>
      </c>
      <c r="L361" t="s">
        <v>61</v>
      </c>
      <c r="M361">
        <v>3</v>
      </c>
      <c r="N361" t="s">
        <v>55</v>
      </c>
      <c r="O361">
        <v>16</v>
      </c>
      <c r="P361">
        <v>7</v>
      </c>
      <c r="Q361">
        <v>68</v>
      </c>
      <c r="R361" t="s">
        <v>43</v>
      </c>
      <c r="S361">
        <v>3</v>
      </c>
      <c r="T361" t="s">
        <v>44</v>
      </c>
      <c r="U361" t="s">
        <v>36</v>
      </c>
      <c r="V361">
        <v>1</v>
      </c>
      <c r="W361">
        <v>0</v>
      </c>
      <c r="X361">
        <v>0</v>
      </c>
      <c r="Y361">
        <v>7</v>
      </c>
      <c r="Z361" t="s">
        <v>37</v>
      </c>
    </row>
    <row r="362" spans="1:26" x14ac:dyDescent="0.3">
      <c r="A362" t="s">
        <v>133</v>
      </c>
      <c r="B362" t="s">
        <v>45</v>
      </c>
      <c r="C362">
        <v>28</v>
      </c>
      <c r="D362">
        <v>25</v>
      </c>
      <c r="E362">
        <v>53.571428571428569</v>
      </c>
      <c r="F362" t="b">
        <v>1</v>
      </c>
      <c r="G362">
        <v>81</v>
      </c>
      <c r="H362">
        <v>80.400000000000006</v>
      </c>
      <c r="I362">
        <v>69.3</v>
      </c>
      <c r="K362">
        <v>76.899999999999991</v>
      </c>
      <c r="L362" t="s">
        <v>61</v>
      </c>
      <c r="M362">
        <v>3</v>
      </c>
      <c r="N362" t="s">
        <v>55</v>
      </c>
      <c r="O362">
        <v>10</v>
      </c>
      <c r="P362">
        <v>10</v>
      </c>
      <c r="Q362">
        <v>26</v>
      </c>
      <c r="R362" t="s">
        <v>46</v>
      </c>
      <c r="S362">
        <v>4</v>
      </c>
      <c r="T362" t="s">
        <v>47</v>
      </c>
      <c r="U362" t="s">
        <v>56</v>
      </c>
      <c r="V362">
        <v>1</v>
      </c>
      <c r="W362">
        <v>0</v>
      </c>
      <c r="X362">
        <v>1</v>
      </c>
      <c r="Y362">
        <v>10</v>
      </c>
      <c r="Z362" t="s">
        <v>37</v>
      </c>
    </row>
    <row r="363" spans="1:26" x14ac:dyDescent="0.3">
      <c r="A363" t="s">
        <v>134</v>
      </c>
      <c r="B363" t="s">
        <v>27</v>
      </c>
      <c r="C363">
        <v>37</v>
      </c>
      <c r="D363">
        <v>15</v>
      </c>
      <c r="E363">
        <v>54.054054054054063</v>
      </c>
      <c r="F363" t="b">
        <v>1</v>
      </c>
      <c r="G363">
        <v>79.599999999999994</v>
      </c>
      <c r="H363">
        <v>83.6</v>
      </c>
      <c r="I363">
        <v>99.9</v>
      </c>
      <c r="J363">
        <v>75.599999999999994</v>
      </c>
      <c r="K363">
        <v>84.675000000000011</v>
      </c>
      <c r="L363" t="s">
        <v>61</v>
      </c>
      <c r="M363">
        <v>5</v>
      </c>
      <c r="N363" t="s">
        <v>55</v>
      </c>
      <c r="O363">
        <v>22</v>
      </c>
      <c r="P363">
        <v>12</v>
      </c>
      <c r="Q363">
        <v>66</v>
      </c>
      <c r="R363" t="s">
        <v>30</v>
      </c>
      <c r="S363">
        <v>4</v>
      </c>
      <c r="T363" t="s">
        <v>31</v>
      </c>
      <c r="U363" t="s">
        <v>56</v>
      </c>
      <c r="V363">
        <v>1</v>
      </c>
      <c r="W363">
        <v>0</v>
      </c>
      <c r="X363">
        <v>0</v>
      </c>
      <c r="Y363">
        <v>12</v>
      </c>
      <c r="Z363" t="s">
        <v>37</v>
      </c>
    </row>
    <row r="364" spans="1:26" x14ac:dyDescent="0.3">
      <c r="A364" t="s">
        <v>134</v>
      </c>
      <c r="B364" t="s">
        <v>51</v>
      </c>
      <c r="C364">
        <v>37</v>
      </c>
      <c r="D364">
        <v>20</v>
      </c>
      <c r="E364">
        <v>64.86486486486487</v>
      </c>
      <c r="F364" t="b">
        <v>1</v>
      </c>
      <c r="G364">
        <v>88.7</v>
      </c>
      <c r="H364">
        <v>94.3</v>
      </c>
      <c r="I364">
        <v>71.3</v>
      </c>
      <c r="J364">
        <v>85.4</v>
      </c>
      <c r="K364">
        <v>84.925000000000011</v>
      </c>
      <c r="L364" t="s">
        <v>61</v>
      </c>
      <c r="M364">
        <v>5</v>
      </c>
      <c r="N364" t="s">
        <v>55</v>
      </c>
      <c r="O364">
        <v>20</v>
      </c>
      <c r="P364">
        <v>11</v>
      </c>
      <c r="Q364">
        <v>55</v>
      </c>
      <c r="R364" t="s">
        <v>30</v>
      </c>
      <c r="S364">
        <v>3</v>
      </c>
      <c r="T364" t="s">
        <v>52</v>
      </c>
      <c r="U364" t="s">
        <v>56</v>
      </c>
      <c r="V364">
        <v>1</v>
      </c>
      <c r="W364">
        <v>0</v>
      </c>
      <c r="X364">
        <v>0</v>
      </c>
      <c r="Y364">
        <v>11</v>
      </c>
      <c r="Z364" t="s">
        <v>37</v>
      </c>
    </row>
    <row r="365" spans="1:26" x14ac:dyDescent="0.3">
      <c r="A365" t="s">
        <v>134</v>
      </c>
      <c r="B365" t="s">
        <v>40</v>
      </c>
      <c r="C365">
        <v>32</v>
      </c>
      <c r="D365">
        <v>24</v>
      </c>
      <c r="E365">
        <v>71.875</v>
      </c>
      <c r="F365" t="b">
        <v>1</v>
      </c>
      <c r="H365">
        <v>78</v>
      </c>
      <c r="I365">
        <v>56.5</v>
      </c>
      <c r="K365">
        <v>67.25</v>
      </c>
      <c r="L365" t="s">
        <v>61</v>
      </c>
      <c r="M365">
        <v>5</v>
      </c>
      <c r="N365" t="s">
        <v>55</v>
      </c>
      <c r="O365">
        <v>22</v>
      </c>
      <c r="P365">
        <v>14</v>
      </c>
      <c r="Q365">
        <v>72</v>
      </c>
      <c r="R365" t="s">
        <v>30</v>
      </c>
      <c r="S365">
        <v>3</v>
      </c>
      <c r="T365" t="s">
        <v>41</v>
      </c>
      <c r="U365" t="s">
        <v>36</v>
      </c>
      <c r="V365">
        <v>1</v>
      </c>
      <c r="W365">
        <v>0</v>
      </c>
      <c r="X365">
        <v>2</v>
      </c>
      <c r="Y365">
        <v>14</v>
      </c>
      <c r="Z365" t="s">
        <v>37</v>
      </c>
    </row>
    <row r="366" spans="1:26" x14ac:dyDescent="0.3">
      <c r="A366" t="s">
        <v>134</v>
      </c>
      <c r="B366" t="s">
        <v>42</v>
      </c>
      <c r="C366">
        <v>37</v>
      </c>
      <c r="D366">
        <v>23</v>
      </c>
      <c r="E366">
        <v>70.270270270270274</v>
      </c>
      <c r="F366" t="b">
        <v>1</v>
      </c>
      <c r="G366">
        <v>99.5</v>
      </c>
      <c r="H366">
        <v>94.7</v>
      </c>
      <c r="I366">
        <v>100</v>
      </c>
      <c r="J366">
        <v>88.5</v>
      </c>
      <c r="K366">
        <v>95.674999999999997</v>
      </c>
      <c r="L366" t="s">
        <v>61</v>
      </c>
      <c r="M366">
        <v>5</v>
      </c>
      <c r="N366" t="s">
        <v>55</v>
      </c>
      <c r="O366">
        <v>27</v>
      </c>
      <c r="P366">
        <v>11</v>
      </c>
      <c r="Q366">
        <v>98</v>
      </c>
      <c r="R366" t="s">
        <v>43</v>
      </c>
      <c r="S366">
        <v>3</v>
      </c>
      <c r="T366" t="s">
        <v>44</v>
      </c>
      <c r="U366" t="s">
        <v>56</v>
      </c>
      <c r="V366">
        <v>1</v>
      </c>
      <c r="W366">
        <v>0</v>
      </c>
      <c r="X366">
        <v>0</v>
      </c>
      <c r="Y366">
        <v>11</v>
      </c>
      <c r="Z366" t="s">
        <v>37</v>
      </c>
    </row>
    <row r="367" spans="1:26" x14ac:dyDescent="0.3">
      <c r="A367" t="s">
        <v>135</v>
      </c>
      <c r="B367" t="s">
        <v>27</v>
      </c>
      <c r="C367">
        <v>37</v>
      </c>
      <c r="D367">
        <v>26</v>
      </c>
      <c r="E367">
        <v>78.378378378378372</v>
      </c>
      <c r="F367" t="b">
        <v>1</v>
      </c>
      <c r="H367">
        <v>61</v>
      </c>
      <c r="I367">
        <v>23.5</v>
      </c>
      <c r="J367">
        <v>51.1</v>
      </c>
      <c r="K367">
        <v>45.2</v>
      </c>
      <c r="L367" t="s">
        <v>28</v>
      </c>
      <c r="M367">
        <v>6</v>
      </c>
      <c r="N367" t="s">
        <v>50</v>
      </c>
      <c r="O367">
        <v>23</v>
      </c>
      <c r="P367">
        <v>5</v>
      </c>
      <c r="Q367">
        <v>71</v>
      </c>
      <c r="R367" t="s">
        <v>30</v>
      </c>
      <c r="S367">
        <v>4</v>
      </c>
      <c r="T367" t="s">
        <v>31</v>
      </c>
      <c r="U367" t="s">
        <v>32</v>
      </c>
      <c r="V367">
        <v>0</v>
      </c>
      <c r="W367">
        <v>0</v>
      </c>
      <c r="X367">
        <v>1</v>
      </c>
      <c r="Y367">
        <v>5</v>
      </c>
      <c r="Z367" t="s">
        <v>37</v>
      </c>
    </row>
    <row r="368" spans="1:26" x14ac:dyDescent="0.3">
      <c r="A368" t="s">
        <v>135</v>
      </c>
      <c r="B368" t="s">
        <v>51</v>
      </c>
      <c r="C368">
        <v>32</v>
      </c>
      <c r="D368">
        <v>29</v>
      </c>
      <c r="E368">
        <v>50</v>
      </c>
      <c r="F368" t="b">
        <v>1</v>
      </c>
      <c r="G368">
        <v>56.8</v>
      </c>
      <c r="H368">
        <v>52.4</v>
      </c>
      <c r="I368">
        <v>27.8</v>
      </c>
      <c r="J368">
        <v>51.1</v>
      </c>
      <c r="K368">
        <v>47.024999999999999</v>
      </c>
      <c r="L368" t="s">
        <v>28</v>
      </c>
      <c r="M368">
        <v>6</v>
      </c>
      <c r="N368" t="s">
        <v>50</v>
      </c>
      <c r="O368">
        <v>22</v>
      </c>
      <c r="P368">
        <v>8</v>
      </c>
      <c r="Q368">
        <v>64</v>
      </c>
      <c r="R368" t="s">
        <v>30</v>
      </c>
      <c r="S368">
        <v>3</v>
      </c>
      <c r="T368" t="s">
        <v>52</v>
      </c>
      <c r="U368" t="s">
        <v>32</v>
      </c>
      <c r="V368">
        <v>1</v>
      </c>
      <c r="W368">
        <v>0</v>
      </c>
      <c r="X368">
        <v>0</v>
      </c>
      <c r="Y368">
        <v>8</v>
      </c>
      <c r="Z368" t="s">
        <v>33</v>
      </c>
    </row>
    <row r="369" spans="1:26" x14ac:dyDescent="0.3">
      <c r="A369" t="s">
        <v>135</v>
      </c>
      <c r="B369" t="s">
        <v>34</v>
      </c>
      <c r="C369">
        <v>33</v>
      </c>
      <c r="D369">
        <v>16</v>
      </c>
      <c r="E369">
        <v>57.575757575757578</v>
      </c>
      <c r="F369" t="b">
        <v>1</v>
      </c>
      <c r="G369">
        <v>35.700000000000003</v>
      </c>
      <c r="H369">
        <v>45.7</v>
      </c>
      <c r="I369">
        <v>49.4</v>
      </c>
      <c r="J369">
        <v>55</v>
      </c>
      <c r="K369">
        <v>46.45</v>
      </c>
      <c r="L369" t="s">
        <v>28</v>
      </c>
      <c r="M369">
        <v>6</v>
      </c>
      <c r="N369" t="s">
        <v>50</v>
      </c>
      <c r="O369">
        <v>17</v>
      </c>
      <c r="P369">
        <v>9</v>
      </c>
      <c r="Q369">
        <v>45</v>
      </c>
      <c r="R369" t="s">
        <v>35</v>
      </c>
      <c r="S369">
        <v>2</v>
      </c>
      <c r="T369" t="s">
        <v>31</v>
      </c>
      <c r="U369" t="s">
        <v>32</v>
      </c>
      <c r="V369">
        <v>1</v>
      </c>
      <c r="W369">
        <v>0</v>
      </c>
      <c r="X369">
        <v>0</v>
      </c>
      <c r="Y369">
        <v>9</v>
      </c>
      <c r="Z369" t="s">
        <v>33</v>
      </c>
    </row>
    <row r="370" spans="1:26" x14ac:dyDescent="0.3">
      <c r="A370" t="s">
        <v>135</v>
      </c>
      <c r="B370" t="s">
        <v>57</v>
      </c>
      <c r="C370">
        <v>28</v>
      </c>
      <c r="D370">
        <v>19</v>
      </c>
      <c r="E370">
        <v>75</v>
      </c>
      <c r="F370" t="b">
        <v>1</v>
      </c>
      <c r="G370">
        <v>36.299999999999997</v>
      </c>
      <c r="H370">
        <v>45.8</v>
      </c>
      <c r="I370">
        <v>55.1</v>
      </c>
      <c r="J370">
        <v>75.2</v>
      </c>
      <c r="K370">
        <v>53.1</v>
      </c>
      <c r="L370" t="s">
        <v>28</v>
      </c>
      <c r="M370">
        <v>6</v>
      </c>
      <c r="N370" t="s">
        <v>50</v>
      </c>
      <c r="O370">
        <v>20</v>
      </c>
      <c r="P370">
        <v>7</v>
      </c>
      <c r="Q370">
        <v>63</v>
      </c>
      <c r="R370" t="s">
        <v>30</v>
      </c>
      <c r="S370">
        <v>4</v>
      </c>
      <c r="T370" t="s">
        <v>58</v>
      </c>
      <c r="U370" t="s">
        <v>32</v>
      </c>
      <c r="V370">
        <v>0</v>
      </c>
      <c r="W370">
        <v>0</v>
      </c>
      <c r="X370">
        <v>0</v>
      </c>
      <c r="Y370">
        <v>7</v>
      </c>
      <c r="Z370" t="s">
        <v>37</v>
      </c>
    </row>
    <row r="371" spans="1:26" x14ac:dyDescent="0.3">
      <c r="A371" t="s">
        <v>135</v>
      </c>
      <c r="B371" t="s">
        <v>42</v>
      </c>
      <c r="C371">
        <v>40</v>
      </c>
      <c r="D371">
        <v>21</v>
      </c>
      <c r="E371">
        <v>52.5</v>
      </c>
      <c r="F371" t="b">
        <v>1</v>
      </c>
      <c r="G371">
        <v>64.599999999999994</v>
      </c>
      <c r="H371">
        <v>27.3</v>
      </c>
      <c r="I371">
        <v>56.9</v>
      </c>
      <c r="J371">
        <v>50.5</v>
      </c>
      <c r="K371">
        <v>49.825000000000003</v>
      </c>
      <c r="L371" t="s">
        <v>28</v>
      </c>
      <c r="M371">
        <v>6</v>
      </c>
      <c r="N371" t="s">
        <v>50</v>
      </c>
      <c r="O371">
        <v>14</v>
      </c>
      <c r="P371">
        <v>11</v>
      </c>
      <c r="Q371">
        <v>39</v>
      </c>
      <c r="R371" t="s">
        <v>43</v>
      </c>
      <c r="S371">
        <v>3</v>
      </c>
      <c r="T371" t="s">
        <v>44</v>
      </c>
      <c r="U371" t="s">
        <v>32</v>
      </c>
      <c r="V371">
        <v>1</v>
      </c>
      <c r="W371">
        <v>0</v>
      </c>
      <c r="X371">
        <v>0</v>
      </c>
      <c r="Y371">
        <v>11</v>
      </c>
      <c r="Z371" t="s">
        <v>33</v>
      </c>
    </row>
    <row r="372" spans="1:26" x14ac:dyDescent="0.3">
      <c r="A372" t="s">
        <v>135</v>
      </c>
      <c r="B372" t="s">
        <v>45</v>
      </c>
      <c r="C372">
        <v>36</v>
      </c>
      <c r="D372">
        <v>21</v>
      </c>
      <c r="E372">
        <v>52.777777777777779</v>
      </c>
      <c r="F372" t="b">
        <v>1</v>
      </c>
      <c r="G372">
        <v>67.400000000000006</v>
      </c>
      <c r="H372">
        <v>54.3</v>
      </c>
      <c r="I372">
        <v>64.099999999999994</v>
      </c>
      <c r="J372">
        <v>54.9</v>
      </c>
      <c r="K372">
        <v>60.174999999999997</v>
      </c>
      <c r="L372" t="s">
        <v>28</v>
      </c>
      <c r="M372">
        <v>6</v>
      </c>
      <c r="N372" t="s">
        <v>50</v>
      </c>
      <c r="O372">
        <v>14</v>
      </c>
      <c r="P372">
        <v>6</v>
      </c>
      <c r="Q372">
        <v>48</v>
      </c>
      <c r="R372" t="s">
        <v>46</v>
      </c>
      <c r="S372">
        <v>4</v>
      </c>
      <c r="T372" t="s">
        <v>47</v>
      </c>
      <c r="U372" t="s">
        <v>36</v>
      </c>
      <c r="V372">
        <v>1</v>
      </c>
      <c r="W372">
        <v>0</v>
      </c>
      <c r="X372">
        <v>0</v>
      </c>
      <c r="Y372">
        <v>6</v>
      </c>
      <c r="Z372" t="s">
        <v>37</v>
      </c>
    </row>
    <row r="373" spans="1:26" x14ac:dyDescent="0.3">
      <c r="A373" t="s">
        <v>136</v>
      </c>
      <c r="B373" t="s">
        <v>27</v>
      </c>
      <c r="C373">
        <v>39</v>
      </c>
      <c r="D373">
        <v>19</v>
      </c>
      <c r="E373">
        <v>64.102564102564102</v>
      </c>
      <c r="F373" t="b">
        <v>1</v>
      </c>
      <c r="G373">
        <v>60.8</v>
      </c>
      <c r="H373">
        <v>72.599999999999994</v>
      </c>
      <c r="I373">
        <v>51.9</v>
      </c>
      <c r="J373">
        <v>59.9</v>
      </c>
      <c r="K373">
        <v>61.3</v>
      </c>
      <c r="L373" t="s">
        <v>49</v>
      </c>
      <c r="M373">
        <v>3</v>
      </c>
      <c r="N373" t="s">
        <v>55</v>
      </c>
      <c r="O373">
        <v>33</v>
      </c>
      <c r="P373">
        <v>7</v>
      </c>
      <c r="Q373">
        <v>80</v>
      </c>
      <c r="R373" t="s">
        <v>30</v>
      </c>
      <c r="S373">
        <v>4</v>
      </c>
      <c r="T373" t="s">
        <v>31</v>
      </c>
      <c r="U373" t="s">
        <v>36</v>
      </c>
      <c r="V373">
        <v>1</v>
      </c>
      <c r="W373">
        <v>0</v>
      </c>
      <c r="X373">
        <v>0</v>
      </c>
      <c r="Y373">
        <v>7</v>
      </c>
      <c r="Z373" t="s">
        <v>37</v>
      </c>
    </row>
    <row r="374" spans="1:26" x14ac:dyDescent="0.3">
      <c r="A374" t="s">
        <v>136</v>
      </c>
      <c r="B374" t="s">
        <v>34</v>
      </c>
      <c r="C374">
        <v>39</v>
      </c>
      <c r="D374">
        <v>25</v>
      </c>
      <c r="E374">
        <v>61.53846153846154</v>
      </c>
      <c r="F374" t="b">
        <v>1</v>
      </c>
      <c r="H374">
        <v>67.8</v>
      </c>
      <c r="I374">
        <v>44.7</v>
      </c>
      <c r="J374">
        <v>45.9</v>
      </c>
      <c r="K374">
        <v>52.8</v>
      </c>
      <c r="L374" t="s">
        <v>49</v>
      </c>
      <c r="M374">
        <v>3</v>
      </c>
      <c r="N374" t="s">
        <v>55</v>
      </c>
      <c r="O374">
        <v>19</v>
      </c>
      <c r="P374">
        <v>10</v>
      </c>
      <c r="Q374">
        <v>52</v>
      </c>
      <c r="R374" t="s">
        <v>35</v>
      </c>
      <c r="S374">
        <v>2</v>
      </c>
      <c r="T374" t="s">
        <v>31</v>
      </c>
      <c r="U374" t="s">
        <v>32</v>
      </c>
      <c r="V374">
        <v>1</v>
      </c>
      <c r="W374">
        <v>0</v>
      </c>
      <c r="X374">
        <v>1</v>
      </c>
      <c r="Y374">
        <v>10</v>
      </c>
      <c r="Z374" t="s">
        <v>33</v>
      </c>
    </row>
    <row r="375" spans="1:26" x14ac:dyDescent="0.3">
      <c r="A375" t="s">
        <v>136</v>
      </c>
      <c r="B375" t="s">
        <v>38</v>
      </c>
      <c r="C375">
        <v>31</v>
      </c>
      <c r="D375">
        <v>24</v>
      </c>
      <c r="E375">
        <v>48.387096774193552</v>
      </c>
      <c r="F375" t="b">
        <v>1</v>
      </c>
      <c r="G375">
        <v>44.5</v>
      </c>
      <c r="H375">
        <v>56.8</v>
      </c>
      <c r="I375">
        <v>49.5</v>
      </c>
      <c r="J375">
        <v>76.599999999999994</v>
      </c>
      <c r="K375">
        <v>56.85</v>
      </c>
      <c r="L375" t="s">
        <v>49</v>
      </c>
      <c r="M375">
        <v>3</v>
      </c>
      <c r="N375" t="s">
        <v>55</v>
      </c>
      <c r="O375">
        <v>14</v>
      </c>
      <c r="P375">
        <v>8</v>
      </c>
      <c r="Q375">
        <v>63</v>
      </c>
      <c r="R375" t="s">
        <v>30</v>
      </c>
      <c r="S375">
        <v>3</v>
      </c>
      <c r="T375" t="s">
        <v>39</v>
      </c>
      <c r="U375" t="s">
        <v>32</v>
      </c>
      <c r="V375">
        <v>1</v>
      </c>
      <c r="W375">
        <v>0</v>
      </c>
      <c r="X375">
        <v>0</v>
      </c>
      <c r="Y375">
        <v>8</v>
      </c>
      <c r="Z375" t="s">
        <v>33</v>
      </c>
    </row>
    <row r="376" spans="1:26" x14ac:dyDescent="0.3">
      <c r="A376" t="s">
        <v>136</v>
      </c>
      <c r="B376" t="s">
        <v>40</v>
      </c>
      <c r="C376">
        <v>27</v>
      </c>
      <c r="D376">
        <v>15</v>
      </c>
      <c r="E376">
        <v>81.481481481481481</v>
      </c>
      <c r="F376" t="b">
        <v>1</v>
      </c>
      <c r="G376">
        <v>73.599999999999994</v>
      </c>
      <c r="H376">
        <v>63.2</v>
      </c>
      <c r="I376">
        <v>66.8</v>
      </c>
      <c r="J376">
        <v>69.5</v>
      </c>
      <c r="K376">
        <v>68.275000000000006</v>
      </c>
      <c r="L376" t="s">
        <v>49</v>
      </c>
      <c r="M376">
        <v>3</v>
      </c>
      <c r="N376" t="s">
        <v>55</v>
      </c>
      <c r="O376">
        <v>19</v>
      </c>
      <c r="P376">
        <v>8</v>
      </c>
      <c r="Q376">
        <v>36</v>
      </c>
      <c r="R376" t="s">
        <v>30</v>
      </c>
      <c r="S376">
        <v>3</v>
      </c>
      <c r="T376" t="s">
        <v>41</v>
      </c>
      <c r="U376" t="s">
        <v>36</v>
      </c>
      <c r="V376">
        <v>0</v>
      </c>
      <c r="W376">
        <v>0</v>
      </c>
      <c r="X376">
        <v>0</v>
      </c>
      <c r="Y376">
        <v>8</v>
      </c>
      <c r="Z376" t="s">
        <v>37</v>
      </c>
    </row>
    <row r="377" spans="1:26" x14ac:dyDescent="0.3">
      <c r="A377" t="s">
        <v>136</v>
      </c>
      <c r="B377" t="s">
        <v>57</v>
      </c>
      <c r="C377">
        <v>33</v>
      </c>
      <c r="D377">
        <v>22</v>
      </c>
      <c r="E377">
        <v>60.606060606060609</v>
      </c>
      <c r="F377" t="b">
        <v>1</v>
      </c>
      <c r="G377">
        <v>64.7</v>
      </c>
      <c r="H377">
        <v>87.5</v>
      </c>
      <c r="I377">
        <v>64.3</v>
      </c>
      <c r="J377">
        <v>47.2</v>
      </c>
      <c r="K377">
        <v>65.924999999999997</v>
      </c>
      <c r="L377" t="s">
        <v>49</v>
      </c>
      <c r="M377">
        <v>3</v>
      </c>
      <c r="N377" t="s">
        <v>55</v>
      </c>
      <c r="O377">
        <v>19</v>
      </c>
      <c r="P377">
        <v>9</v>
      </c>
      <c r="Q377">
        <v>55</v>
      </c>
      <c r="R377" t="s">
        <v>30</v>
      </c>
      <c r="S377">
        <v>4</v>
      </c>
      <c r="T377" t="s">
        <v>58</v>
      </c>
      <c r="U377" t="s">
        <v>36</v>
      </c>
      <c r="V377">
        <v>1</v>
      </c>
      <c r="W377">
        <v>0</v>
      </c>
      <c r="X377">
        <v>0</v>
      </c>
      <c r="Y377">
        <v>9</v>
      </c>
      <c r="Z377" t="s">
        <v>37</v>
      </c>
    </row>
    <row r="378" spans="1:26" x14ac:dyDescent="0.3">
      <c r="A378" t="s">
        <v>136</v>
      </c>
      <c r="B378" t="s">
        <v>45</v>
      </c>
      <c r="C378">
        <v>33</v>
      </c>
      <c r="D378">
        <v>20</v>
      </c>
      <c r="E378">
        <v>63.636363636363633</v>
      </c>
      <c r="F378" t="b">
        <v>1</v>
      </c>
      <c r="G378">
        <v>51.6</v>
      </c>
      <c r="H378">
        <v>72.400000000000006</v>
      </c>
      <c r="I378">
        <v>61.5</v>
      </c>
      <c r="J378">
        <v>69.099999999999994</v>
      </c>
      <c r="K378">
        <v>63.65</v>
      </c>
      <c r="L378" t="s">
        <v>49</v>
      </c>
      <c r="M378">
        <v>3</v>
      </c>
      <c r="N378" t="s">
        <v>55</v>
      </c>
      <c r="O378">
        <v>9</v>
      </c>
      <c r="P378">
        <v>12</v>
      </c>
      <c r="Q378">
        <v>25</v>
      </c>
      <c r="R378" t="s">
        <v>46</v>
      </c>
      <c r="S378">
        <v>4</v>
      </c>
      <c r="T378" t="s">
        <v>47</v>
      </c>
      <c r="U378" t="s">
        <v>36</v>
      </c>
      <c r="V378">
        <v>1</v>
      </c>
      <c r="W378">
        <v>0</v>
      </c>
      <c r="X378">
        <v>0</v>
      </c>
      <c r="Y378">
        <v>12</v>
      </c>
      <c r="Z378" t="s">
        <v>37</v>
      </c>
    </row>
    <row r="379" spans="1:26" x14ac:dyDescent="0.3">
      <c r="A379" t="s">
        <v>137</v>
      </c>
      <c r="B379" t="s">
        <v>27</v>
      </c>
      <c r="C379">
        <v>32</v>
      </c>
      <c r="D379">
        <v>21</v>
      </c>
      <c r="E379">
        <v>65.625</v>
      </c>
      <c r="F379" t="b">
        <v>1</v>
      </c>
      <c r="G379">
        <v>55.1</v>
      </c>
      <c r="H379">
        <v>59.6</v>
      </c>
      <c r="I379">
        <v>64.599999999999994</v>
      </c>
      <c r="J379">
        <v>70.099999999999994</v>
      </c>
      <c r="K379">
        <v>62.35</v>
      </c>
      <c r="L379" t="s">
        <v>28</v>
      </c>
      <c r="M379">
        <v>4</v>
      </c>
      <c r="N379" t="s">
        <v>29</v>
      </c>
      <c r="O379">
        <v>15</v>
      </c>
      <c r="P379">
        <v>12</v>
      </c>
      <c r="Q379">
        <v>46</v>
      </c>
      <c r="R379" t="s">
        <v>30</v>
      </c>
      <c r="S379">
        <v>4</v>
      </c>
      <c r="T379" t="s">
        <v>31</v>
      </c>
      <c r="U379" t="s">
        <v>36</v>
      </c>
      <c r="V379">
        <v>1</v>
      </c>
      <c r="W379">
        <v>0</v>
      </c>
      <c r="X379">
        <v>0</v>
      </c>
      <c r="Y379">
        <v>12</v>
      </c>
      <c r="Z379" t="s">
        <v>37</v>
      </c>
    </row>
    <row r="380" spans="1:26" x14ac:dyDescent="0.3">
      <c r="A380" t="s">
        <v>137</v>
      </c>
      <c r="B380" t="s">
        <v>34</v>
      </c>
      <c r="C380">
        <v>40</v>
      </c>
      <c r="D380">
        <v>21</v>
      </c>
      <c r="E380">
        <v>72.5</v>
      </c>
      <c r="F380" t="b">
        <v>1</v>
      </c>
      <c r="G380">
        <v>80.599999999999994</v>
      </c>
      <c r="H380">
        <v>68.3</v>
      </c>
      <c r="I380">
        <v>77.400000000000006</v>
      </c>
      <c r="J380">
        <v>58.8</v>
      </c>
      <c r="K380">
        <v>71.274999999999991</v>
      </c>
      <c r="L380" t="s">
        <v>28</v>
      </c>
      <c r="M380">
        <v>4</v>
      </c>
      <c r="N380" t="s">
        <v>29</v>
      </c>
      <c r="O380">
        <v>14</v>
      </c>
      <c r="P380">
        <v>7</v>
      </c>
      <c r="Q380">
        <v>47</v>
      </c>
      <c r="R380" t="s">
        <v>35</v>
      </c>
      <c r="S380">
        <v>2</v>
      </c>
      <c r="T380" t="s">
        <v>31</v>
      </c>
      <c r="U380" t="s">
        <v>36</v>
      </c>
      <c r="V380">
        <v>1</v>
      </c>
      <c r="W380">
        <v>0</v>
      </c>
      <c r="X380">
        <v>0</v>
      </c>
      <c r="Y380">
        <v>7</v>
      </c>
      <c r="Z380" t="s">
        <v>37</v>
      </c>
    </row>
    <row r="381" spans="1:26" x14ac:dyDescent="0.3">
      <c r="A381" t="s">
        <v>137</v>
      </c>
      <c r="B381" t="s">
        <v>40</v>
      </c>
      <c r="C381">
        <v>29</v>
      </c>
      <c r="D381">
        <v>29</v>
      </c>
      <c r="E381">
        <v>55.172413793103438</v>
      </c>
      <c r="F381" t="b">
        <v>1</v>
      </c>
      <c r="G381">
        <v>79.5</v>
      </c>
      <c r="H381">
        <v>84.4</v>
      </c>
      <c r="I381">
        <v>92.8</v>
      </c>
      <c r="J381">
        <v>93.2</v>
      </c>
      <c r="K381">
        <v>87.474999999999994</v>
      </c>
      <c r="L381" t="s">
        <v>28</v>
      </c>
      <c r="M381">
        <v>4</v>
      </c>
      <c r="N381" t="s">
        <v>29</v>
      </c>
      <c r="O381">
        <v>21</v>
      </c>
      <c r="P381">
        <v>6</v>
      </c>
      <c r="Q381">
        <v>52</v>
      </c>
      <c r="R381" t="s">
        <v>30</v>
      </c>
      <c r="S381">
        <v>3</v>
      </c>
      <c r="T381" t="s">
        <v>41</v>
      </c>
      <c r="U381" t="s">
        <v>56</v>
      </c>
      <c r="V381">
        <v>1</v>
      </c>
      <c r="W381">
        <v>0</v>
      </c>
      <c r="X381">
        <v>0</v>
      </c>
      <c r="Y381">
        <v>6</v>
      </c>
      <c r="Z381" t="s">
        <v>37</v>
      </c>
    </row>
    <row r="382" spans="1:26" x14ac:dyDescent="0.3">
      <c r="A382" t="s">
        <v>137</v>
      </c>
      <c r="B382" t="s">
        <v>57</v>
      </c>
      <c r="C382">
        <v>28</v>
      </c>
      <c r="D382">
        <v>16</v>
      </c>
      <c r="E382">
        <v>64.285714285714292</v>
      </c>
      <c r="F382" t="b">
        <v>1</v>
      </c>
      <c r="G382">
        <v>51.3</v>
      </c>
      <c r="H382">
        <v>91.7</v>
      </c>
      <c r="I382">
        <v>69.599999999999994</v>
      </c>
      <c r="J382">
        <v>78.5</v>
      </c>
      <c r="K382">
        <v>72.775000000000006</v>
      </c>
      <c r="L382" t="s">
        <v>28</v>
      </c>
      <c r="M382">
        <v>4</v>
      </c>
      <c r="N382" t="s">
        <v>29</v>
      </c>
      <c r="O382">
        <v>14</v>
      </c>
      <c r="P382">
        <v>10</v>
      </c>
      <c r="Q382">
        <v>42</v>
      </c>
      <c r="R382" t="s">
        <v>30</v>
      </c>
      <c r="S382">
        <v>4</v>
      </c>
      <c r="T382" t="s">
        <v>58</v>
      </c>
      <c r="U382" t="s">
        <v>36</v>
      </c>
      <c r="V382">
        <v>1</v>
      </c>
      <c r="W382">
        <v>0</v>
      </c>
      <c r="X382">
        <v>0</v>
      </c>
      <c r="Y382">
        <v>10</v>
      </c>
      <c r="Z382" t="s">
        <v>37</v>
      </c>
    </row>
    <row r="383" spans="1:26" x14ac:dyDescent="0.3">
      <c r="A383" t="s">
        <v>137</v>
      </c>
      <c r="B383" t="s">
        <v>42</v>
      </c>
      <c r="C383">
        <v>26</v>
      </c>
      <c r="D383">
        <v>18</v>
      </c>
      <c r="E383">
        <v>57.692307692307693</v>
      </c>
      <c r="F383" t="b">
        <v>1</v>
      </c>
      <c r="G383">
        <v>70.099999999999994</v>
      </c>
      <c r="H383">
        <v>58.8</v>
      </c>
      <c r="I383">
        <v>88.8</v>
      </c>
      <c r="J383">
        <v>76.599999999999994</v>
      </c>
      <c r="K383">
        <v>73.574999999999989</v>
      </c>
      <c r="L383" t="s">
        <v>28</v>
      </c>
      <c r="M383">
        <v>4</v>
      </c>
      <c r="N383" t="s">
        <v>29</v>
      </c>
      <c r="O383">
        <v>21</v>
      </c>
      <c r="P383">
        <v>8</v>
      </c>
      <c r="Q383">
        <v>56</v>
      </c>
      <c r="R383" t="s">
        <v>43</v>
      </c>
      <c r="S383">
        <v>3</v>
      </c>
      <c r="T383" t="s">
        <v>44</v>
      </c>
      <c r="U383" t="s">
        <v>36</v>
      </c>
      <c r="V383">
        <v>1</v>
      </c>
      <c r="W383">
        <v>0</v>
      </c>
      <c r="X383">
        <v>0</v>
      </c>
      <c r="Y383">
        <v>8</v>
      </c>
      <c r="Z383" t="s">
        <v>37</v>
      </c>
    </row>
    <row r="384" spans="1:26" x14ac:dyDescent="0.3">
      <c r="A384" t="s">
        <v>137</v>
      </c>
      <c r="B384" t="s">
        <v>45</v>
      </c>
      <c r="C384">
        <v>39</v>
      </c>
      <c r="D384">
        <v>15</v>
      </c>
      <c r="E384">
        <v>64.102564102564102</v>
      </c>
      <c r="F384" t="b">
        <v>1</v>
      </c>
      <c r="G384">
        <v>54.6</v>
      </c>
      <c r="H384">
        <v>72.400000000000006</v>
      </c>
      <c r="I384">
        <v>55.4</v>
      </c>
      <c r="J384">
        <v>96.2</v>
      </c>
      <c r="K384">
        <v>69.650000000000006</v>
      </c>
      <c r="L384" t="s">
        <v>28</v>
      </c>
      <c r="M384">
        <v>4</v>
      </c>
      <c r="N384" t="s">
        <v>29</v>
      </c>
      <c r="O384">
        <v>22</v>
      </c>
      <c r="P384">
        <v>5</v>
      </c>
      <c r="Q384">
        <v>46</v>
      </c>
      <c r="R384" t="s">
        <v>46</v>
      </c>
      <c r="S384">
        <v>4</v>
      </c>
      <c r="T384" t="s">
        <v>47</v>
      </c>
      <c r="U384" t="s">
        <v>36</v>
      </c>
      <c r="V384">
        <v>1</v>
      </c>
      <c r="W384">
        <v>0</v>
      </c>
      <c r="X384">
        <v>0</v>
      </c>
      <c r="Y384">
        <v>5</v>
      </c>
      <c r="Z384" t="s">
        <v>37</v>
      </c>
    </row>
    <row r="385" spans="1:26" x14ac:dyDescent="0.3">
      <c r="A385" t="s">
        <v>138</v>
      </c>
      <c r="B385" t="s">
        <v>51</v>
      </c>
      <c r="C385">
        <v>25</v>
      </c>
      <c r="D385">
        <v>25</v>
      </c>
      <c r="E385">
        <v>64</v>
      </c>
      <c r="F385" t="b">
        <v>1</v>
      </c>
      <c r="G385">
        <v>76.7</v>
      </c>
      <c r="H385">
        <v>67.3</v>
      </c>
      <c r="I385">
        <v>45.9</v>
      </c>
      <c r="J385">
        <v>68.2</v>
      </c>
      <c r="K385">
        <v>64.525000000000006</v>
      </c>
      <c r="L385" t="s">
        <v>28</v>
      </c>
      <c r="M385">
        <v>5</v>
      </c>
      <c r="N385" t="s">
        <v>29</v>
      </c>
      <c r="O385">
        <v>10</v>
      </c>
      <c r="P385">
        <v>6</v>
      </c>
      <c r="Q385">
        <v>41</v>
      </c>
      <c r="R385" t="s">
        <v>30</v>
      </c>
      <c r="S385">
        <v>3</v>
      </c>
      <c r="T385" t="s">
        <v>52</v>
      </c>
      <c r="U385" t="s">
        <v>36</v>
      </c>
      <c r="V385">
        <v>1</v>
      </c>
      <c r="W385">
        <v>0</v>
      </c>
      <c r="X385">
        <v>0</v>
      </c>
      <c r="Y385">
        <v>6</v>
      </c>
      <c r="Z385" t="s">
        <v>37</v>
      </c>
    </row>
    <row r="386" spans="1:26" x14ac:dyDescent="0.3">
      <c r="A386" t="s">
        <v>138</v>
      </c>
      <c r="B386" t="s">
        <v>34</v>
      </c>
      <c r="C386">
        <v>38</v>
      </c>
      <c r="D386">
        <v>16</v>
      </c>
      <c r="E386">
        <v>63.157894736842103</v>
      </c>
      <c r="F386" t="b">
        <v>1</v>
      </c>
      <c r="G386">
        <v>52.5</v>
      </c>
      <c r="H386">
        <v>62.3</v>
      </c>
      <c r="I386">
        <v>54.2</v>
      </c>
      <c r="J386">
        <v>60.6</v>
      </c>
      <c r="K386">
        <v>57.4</v>
      </c>
      <c r="L386" t="s">
        <v>28</v>
      </c>
      <c r="M386">
        <v>5</v>
      </c>
      <c r="N386" t="s">
        <v>29</v>
      </c>
      <c r="O386">
        <v>14</v>
      </c>
      <c r="P386">
        <v>11</v>
      </c>
      <c r="Q386">
        <v>36</v>
      </c>
      <c r="R386" t="s">
        <v>35</v>
      </c>
      <c r="S386">
        <v>2</v>
      </c>
      <c r="T386" t="s">
        <v>31</v>
      </c>
      <c r="U386" t="s">
        <v>32</v>
      </c>
      <c r="V386">
        <v>1</v>
      </c>
      <c r="W386">
        <v>0</v>
      </c>
      <c r="X386">
        <v>0</v>
      </c>
      <c r="Y386">
        <v>11</v>
      </c>
      <c r="Z386" t="s">
        <v>33</v>
      </c>
    </row>
    <row r="387" spans="1:26" x14ac:dyDescent="0.3">
      <c r="A387" t="s">
        <v>138</v>
      </c>
      <c r="B387" t="s">
        <v>38</v>
      </c>
      <c r="C387">
        <v>25</v>
      </c>
      <c r="D387">
        <v>24</v>
      </c>
      <c r="E387">
        <v>28</v>
      </c>
      <c r="F387" t="b">
        <v>1</v>
      </c>
      <c r="G387">
        <v>39.5</v>
      </c>
      <c r="H387">
        <v>57.8</v>
      </c>
      <c r="I387">
        <v>34.700000000000003</v>
      </c>
      <c r="J387">
        <v>62.6</v>
      </c>
      <c r="K387">
        <v>48.65</v>
      </c>
      <c r="L387" t="s">
        <v>28</v>
      </c>
      <c r="M387">
        <v>5</v>
      </c>
      <c r="N387" t="s">
        <v>29</v>
      </c>
      <c r="P387">
        <v>11</v>
      </c>
      <c r="R387" t="s">
        <v>30</v>
      </c>
      <c r="S387">
        <v>3</v>
      </c>
      <c r="T387" t="s">
        <v>39</v>
      </c>
      <c r="U387" t="s">
        <v>32</v>
      </c>
      <c r="V387">
        <v>1</v>
      </c>
      <c r="W387">
        <v>1</v>
      </c>
      <c r="X387">
        <v>0</v>
      </c>
      <c r="Y387">
        <v>11</v>
      </c>
      <c r="Z387" t="s">
        <v>33</v>
      </c>
    </row>
    <row r="388" spans="1:26" x14ac:dyDescent="0.3">
      <c r="A388" t="s">
        <v>138</v>
      </c>
      <c r="B388" t="s">
        <v>57</v>
      </c>
      <c r="C388">
        <v>36</v>
      </c>
      <c r="D388">
        <v>7</v>
      </c>
      <c r="E388">
        <v>63.888888888888893</v>
      </c>
      <c r="F388" t="b">
        <v>1</v>
      </c>
      <c r="G388">
        <v>64.7</v>
      </c>
      <c r="H388">
        <v>50.5</v>
      </c>
      <c r="I388">
        <v>63.5</v>
      </c>
      <c r="J388">
        <v>63.5</v>
      </c>
      <c r="K388">
        <v>60.55</v>
      </c>
      <c r="L388" t="s">
        <v>28</v>
      </c>
      <c r="M388">
        <v>5</v>
      </c>
      <c r="N388" t="s">
        <v>29</v>
      </c>
      <c r="O388">
        <v>17</v>
      </c>
      <c r="P388">
        <v>7</v>
      </c>
      <c r="Q388">
        <v>72</v>
      </c>
      <c r="R388" t="s">
        <v>30</v>
      </c>
      <c r="S388">
        <v>4</v>
      </c>
      <c r="T388" t="s">
        <v>58</v>
      </c>
      <c r="U388" t="s">
        <v>36</v>
      </c>
      <c r="V388">
        <v>1</v>
      </c>
      <c r="W388">
        <v>0</v>
      </c>
      <c r="X388">
        <v>0</v>
      </c>
      <c r="Y388">
        <v>7</v>
      </c>
      <c r="Z388" t="s">
        <v>37</v>
      </c>
    </row>
    <row r="389" spans="1:26" x14ac:dyDescent="0.3">
      <c r="A389" t="s">
        <v>138</v>
      </c>
      <c r="B389" t="s">
        <v>42</v>
      </c>
      <c r="C389">
        <v>31</v>
      </c>
      <c r="D389">
        <v>23</v>
      </c>
      <c r="E389">
        <v>61.29032258064516</v>
      </c>
      <c r="F389" t="b">
        <v>1</v>
      </c>
      <c r="G389">
        <v>69.599999999999994</v>
      </c>
      <c r="H389">
        <v>62.1</v>
      </c>
      <c r="I389">
        <v>36.700000000000003</v>
      </c>
      <c r="J389">
        <v>59.8</v>
      </c>
      <c r="K389">
        <v>57.05</v>
      </c>
      <c r="L389" t="s">
        <v>28</v>
      </c>
      <c r="M389">
        <v>5</v>
      </c>
      <c r="N389" t="s">
        <v>29</v>
      </c>
      <c r="O389">
        <v>18</v>
      </c>
      <c r="P389">
        <v>7</v>
      </c>
      <c r="Q389">
        <v>59</v>
      </c>
      <c r="R389" t="s">
        <v>43</v>
      </c>
      <c r="S389">
        <v>3</v>
      </c>
      <c r="T389" t="s">
        <v>44</v>
      </c>
      <c r="U389" t="s">
        <v>32</v>
      </c>
      <c r="V389">
        <v>1</v>
      </c>
      <c r="W389">
        <v>0</v>
      </c>
      <c r="X389">
        <v>0</v>
      </c>
      <c r="Y389">
        <v>7</v>
      </c>
      <c r="Z389" t="s">
        <v>33</v>
      </c>
    </row>
    <row r="390" spans="1:26" x14ac:dyDescent="0.3">
      <c r="A390" t="s">
        <v>138</v>
      </c>
      <c r="B390" t="s">
        <v>45</v>
      </c>
      <c r="C390">
        <v>26</v>
      </c>
      <c r="D390">
        <v>19</v>
      </c>
      <c r="E390">
        <v>53.846153846153847</v>
      </c>
      <c r="F390" t="b">
        <v>1</v>
      </c>
      <c r="G390">
        <v>50.1</v>
      </c>
      <c r="H390">
        <v>56.1</v>
      </c>
      <c r="I390">
        <v>77.8</v>
      </c>
      <c r="J390">
        <v>46.6</v>
      </c>
      <c r="K390">
        <v>57.65</v>
      </c>
      <c r="L390" t="s">
        <v>28</v>
      </c>
      <c r="M390">
        <v>5</v>
      </c>
      <c r="N390" t="s">
        <v>29</v>
      </c>
      <c r="O390">
        <v>15</v>
      </c>
      <c r="P390">
        <v>7</v>
      </c>
      <c r="Q390">
        <v>49</v>
      </c>
      <c r="R390" t="s">
        <v>46</v>
      </c>
      <c r="S390">
        <v>4</v>
      </c>
      <c r="T390" t="s">
        <v>47</v>
      </c>
      <c r="U390" t="s">
        <v>32</v>
      </c>
      <c r="V390">
        <v>1</v>
      </c>
      <c r="W390">
        <v>0</v>
      </c>
      <c r="X390">
        <v>0</v>
      </c>
      <c r="Y390">
        <v>7</v>
      </c>
      <c r="Z390" t="s">
        <v>33</v>
      </c>
    </row>
    <row r="391" spans="1:26" x14ac:dyDescent="0.3">
      <c r="A391" t="s">
        <v>139</v>
      </c>
      <c r="B391" t="s">
        <v>27</v>
      </c>
      <c r="C391">
        <v>31</v>
      </c>
      <c r="D391">
        <v>14</v>
      </c>
      <c r="E391">
        <v>67.741935483870961</v>
      </c>
      <c r="F391" t="b">
        <v>1</v>
      </c>
      <c r="G391">
        <v>61.5</v>
      </c>
      <c r="H391">
        <v>78.400000000000006</v>
      </c>
      <c r="I391">
        <v>76.400000000000006</v>
      </c>
      <c r="J391">
        <v>76.400000000000006</v>
      </c>
      <c r="K391">
        <v>73.175000000000011</v>
      </c>
      <c r="L391" t="s">
        <v>49</v>
      </c>
      <c r="M391">
        <v>6</v>
      </c>
      <c r="N391" t="s">
        <v>50</v>
      </c>
      <c r="O391">
        <v>25</v>
      </c>
      <c r="P391">
        <v>11</v>
      </c>
      <c r="Q391">
        <v>68</v>
      </c>
      <c r="R391" t="s">
        <v>30</v>
      </c>
      <c r="S391">
        <v>4</v>
      </c>
      <c r="T391" t="s">
        <v>31</v>
      </c>
      <c r="U391" t="s">
        <v>36</v>
      </c>
      <c r="V391">
        <v>1</v>
      </c>
      <c r="W391">
        <v>0</v>
      </c>
      <c r="X391">
        <v>0</v>
      </c>
      <c r="Y391">
        <v>11</v>
      </c>
      <c r="Z391" t="s">
        <v>37</v>
      </c>
    </row>
    <row r="392" spans="1:26" x14ac:dyDescent="0.3">
      <c r="A392" t="s">
        <v>139</v>
      </c>
      <c r="B392" t="s">
        <v>34</v>
      </c>
      <c r="C392">
        <v>33</v>
      </c>
      <c r="D392">
        <v>21</v>
      </c>
      <c r="E392">
        <v>66.666666666666657</v>
      </c>
      <c r="F392" t="b">
        <v>1</v>
      </c>
      <c r="G392">
        <v>85</v>
      </c>
      <c r="H392">
        <v>78.7</v>
      </c>
      <c r="I392">
        <v>69.3</v>
      </c>
      <c r="J392">
        <v>66.7</v>
      </c>
      <c r="K392">
        <v>74.924999999999997</v>
      </c>
      <c r="L392" t="s">
        <v>49</v>
      </c>
      <c r="M392">
        <v>6</v>
      </c>
      <c r="N392" t="s">
        <v>50</v>
      </c>
      <c r="O392">
        <v>13</v>
      </c>
      <c r="P392">
        <v>10</v>
      </c>
      <c r="Q392">
        <v>42</v>
      </c>
      <c r="R392" t="s">
        <v>35</v>
      </c>
      <c r="S392">
        <v>2</v>
      </c>
      <c r="T392" t="s">
        <v>31</v>
      </c>
      <c r="U392" t="s">
        <v>36</v>
      </c>
      <c r="V392">
        <v>1</v>
      </c>
      <c r="W392">
        <v>0</v>
      </c>
      <c r="X392">
        <v>0</v>
      </c>
      <c r="Y392">
        <v>10</v>
      </c>
      <c r="Z392" t="s">
        <v>37</v>
      </c>
    </row>
    <row r="393" spans="1:26" x14ac:dyDescent="0.3">
      <c r="A393" t="s">
        <v>139</v>
      </c>
      <c r="B393" t="s">
        <v>38</v>
      </c>
      <c r="C393">
        <v>24</v>
      </c>
      <c r="D393">
        <v>22</v>
      </c>
      <c r="E393">
        <v>45.833333333333329</v>
      </c>
      <c r="F393" t="b">
        <v>1</v>
      </c>
      <c r="G393">
        <v>42.3</v>
      </c>
      <c r="H393">
        <v>75.599999999999994</v>
      </c>
      <c r="I393">
        <v>59.2</v>
      </c>
      <c r="J393">
        <v>61.8</v>
      </c>
      <c r="K393">
        <v>59.725000000000001</v>
      </c>
      <c r="L393" t="s">
        <v>49</v>
      </c>
      <c r="M393">
        <v>6</v>
      </c>
      <c r="N393" t="s">
        <v>50</v>
      </c>
      <c r="O393">
        <v>22</v>
      </c>
      <c r="P393">
        <v>6</v>
      </c>
      <c r="Q393">
        <v>67</v>
      </c>
      <c r="R393" t="s">
        <v>30</v>
      </c>
      <c r="S393">
        <v>3</v>
      </c>
      <c r="T393" t="s">
        <v>39</v>
      </c>
      <c r="U393" t="s">
        <v>32</v>
      </c>
      <c r="V393">
        <v>1</v>
      </c>
      <c r="W393">
        <v>0</v>
      </c>
      <c r="X393">
        <v>0</v>
      </c>
      <c r="Y393">
        <v>6</v>
      </c>
      <c r="Z393" t="s">
        <v>33</v>
      </c>
    </row>
    <row r="394" spans="1:26" x14ac:dyDescent="0.3">
      <c r="A394" t="s">
        <v>139</v>
      </c>
      <c r="B394" t="s">
        <v>42</v>
      </c>
      <c r="C394">
        <v>30</v>
      </c>
      <c r="D394">
        <v>11</v>
      </c>
      <c r="E394">
        <v>56.666666666666657</v>
      </c>
      <c r="F394" t="b">
        <v>1</v>
      </c>
      <c r="H394">
        <v>73.5</v>
      </c>
      <c r="I394">
        <v>63.7</v>
      </c>
      <c r="J394">
        <v>91</v>
      </c>
      <c r="K394">
        <v>76.066666666666663</v>
      </c>
      <c r="L394" t="s">
        <v>49</v>
      </c>
      <c r="M394">
        <v>6</v>
      </c>
      <c r="N394" t="s">
        <v>50</v>
      </c>
      <c r="O394">
        <v>16</v>
      </c>
      <c r="P394">
        <v>9</v>
      </c>
      <c r="Q394">
        <v>60</v>
      </c>
      <c r="R394" t="s">
        <v>43</v>
      </c>
      <c r="S394">
        <v>3</v>
      </c>
      <c r="T394" t="s">
        <v>44</v>
      </c>
      <c r="U394" t="s">
        <v>56</v>
      </c>
      <c r="V394">
        <v>1</v>
      </c>
      <c r="W394">
        <v>0</v>
      </c>
      <c r="X394">
        <v>1</v>
      </c>
      <c r="Y394">
        <v>9</v>
      </c>
      <c r="Z394" t="s">
        <v>37</v>
      </c>
    </row>
    <row r="395" spans="1:26" x14ac:dyDescent="0.3">
      <c r="A395" t="s">
        <v>139</v>
      </c>
      <c r="B395" t="s">
        <v>45</v>
      </c>
      <c r="C395">
        <v>40</v>
      </c>
      <c r="D395">
        <v>17</v>
      </c>
      <c r="E395">
        <v>45</v>
      </c>
      <c r="F395" t="b">
        <v>1</v>
      </c>
      <c r="G395">
        <v>74.900000000000006</v>
      </c>
      <c r="H395">
        <v>66.400000000000006</v>
      </c>
      <c r="I395">
        <v>72.7</v>
      </c>
      <c r="J395">
        <v>67.599999999999994</v>
      </c>
      <c r="K395">
        <v>70.400000000000006</v>
      </c>
      <c r="L395" t="s">
        <v>49</v>
      </c>
      <c r="M395">
        <v>6</v>
      </c>
      <c r="N395" t="s">
        <v>50</v>
      </c>
      <c r="O395">
        <v>20</v>
      </c>
      <c r="P395">
        <v>11</v>
      </c>
      <c r="Q395">
        <v>58</v>
      </c>
      <c r="R395" t="s">
        <v>46</v>
      </c>
      <c r="S395">
        <v>4</v>
      </c>
      <c r="T395" t="s">
        <v>47</v>
      </c>
      <c r="U395" t="s">
        <v>36</v>
      </c>
      <c r="V395">
        <v>1</v>
      </c>
      <c r="W395">
        <v>0</v>
      </c>
      <c r="X395">
        <v>0</v>
      </c>
      <c r="Y395">
        <v>11</v>
      </c>
      <c r="Z395" t="s">
        <v>37</v>
      </c>
    </row>
    <row r="396" spans="1:26" x14ac:dyDescent="0.3">
      <c r="A396" t="s">
        <v>140</v>
      </c>
      <c r="B396" t="s">
        <v>51</v>
      </c>
      <c r="C396">
        <v>25</v>
      </c>
      <c r="D396">
        <v>18</v>
      </c>
      <c r="E396">
        <v>56.000000000000007</v>
      </c>
      <c r="F396" t="b">
        <v>1</v>
      </c>
      <c r="G396">
        <v>27.7</v>
      </c>
      <c r="H396">
        <v>37</v>
      </c>
      <c r="I396">
        <v>29.8</v>
      </c>
      <c r="J396">
        <v>31.6</v>
      </c>
      <c r="K396">
        <v>31.524999999999999</v>
      </c>
      <c r="L396" t="s">
        <v>28</v>
      </c>
      <c r="M396">
        <v>5</v>
      </c>
      <c r="N396" t="s">
        <v>55</v>
      </c>
      <c r="O396">
        <v>24</v>
      </c>
      <c r="P396">
        <v>8</v>
      </c>
      <c r="Q396">
        <v>67</v>
      </c>
      <c r="R396" t="s">
        <v>30</v>
      </c>
      <c r="S396">
        <v>3</v>
      </c>
      <c r="T396" t="s">
        <v>52</v>
      </c>
      <c r="U396" t="s">
        <v>68</v>
      </c>
      <c r="V396">
        <v>1</v>
      </c>
      <c r="W396">
        <v>0</v>
      </c>
      <c r="X396">
        <v>0</v>
      </c>
      <c r="Y396">
        <v>8</v>
      </c>
      <c r="Z396" t="s">
        <v>33</v>
      </c>
    </row>
    <row r="397" spans="1:26" x14ac:dyDescent="0.3">
      <c r="A397" t="s">
        <v>140</v>
      </c>
      <c r="B397" t="s">
        <v>34</v>
      </c>
      <c r="C397">
        <v>31</v>
      </c>
      <c r="D397">
        <v>14</v>
      </c>
      <c r="E397">
        <v>58.064516129032263</v>
      </c>
      <c r="F397" t="b">
        <v>1</v>
      </c>
      <c r="G397">
        <v>7.2</v>
      </c>
      <c r="H397">
        <v>36.700000000000003</v>
      </c>
      <c r="I397">
        <v>45.1</v>
      </c>
      <c r="J397">
        <v>40.200000000000003</v>
      </c>
      <c r="K397">
        <v>32.299999999999997</v>
      </c>
      <c r="L397" t="s">
        <v>28</v>
      </c>
      <c r="M397">
        <v>5</v>
      </c>
      <c r="N397" t="s">
        <v>55</v>
      </c>
      <c r="O397">
        <v>20</v>
      </c>
      <c r="P397">
        <v>8</v>
      </c>
      <c r="Q397">
        <v>68</v>
      </c>
      <c r="R397" t="s">
        <v>35</v>
      </c>
      <c r="S397">
        <v>2</v>
      </c>
      <c r="T397" t="s">
        <v>31</v>
      </c>
      <c r="U397" t="s">
        <v>68</v>
      </c>
      <c r="V397">
        <v>1</v>
      </c>
      <c r="W397">
        <v>0</v>
      </c>
      <c r="X397">
        <v>0</v>
      </c>
      <c r="Y397">
        <v>8</v>
      </c>
      <c r="Z397" t="s">
        <v>33</v>
      </c>
    </row>
    <row r="398" spans="1:26" x14ac:dyDescent="0.3">
      <c r="A398" t="s">
        <v>140</v>
      </c>
      <c r="B398" t="s">
        <v>38</v>
      </c>
      <c r="C398">
        <v>26</v>
      </c>
      <c r="D398">
        <v>18</v>
      </c>
      <c r="E398">
        <v>50</v>
      </c>
      <c r="F398" t="b">
        <v>1</v>
      </c>
      <c r="G398">
        <v>48.8</v>
      </c>
      <c r="H398">
        <v>43.9</v>
      </c>
      <c r="I398">
        <v>59.1</v>
      </c>
      <c r="J398">
        <v>48</v>
      </c>
      <c r="K398">
        <v>49.95</v>
      </c>
      <c r="L398" t="s">
        <v>28</v>
      </c>
      <c r="M398">
        <v>5</v>
      </c>
      <c r="N398" t="s">
        <v>55</v>
      </c>
      <c r="O398">
        <v>11</v>
      </c>
      <c r="P398">
        <v>8</v>
      </c>
      <c r="Q398">
        <v>56</v>
      </c>
      <c r="R398" t="s">
        <v>30</v>
      </c>
      <c r="S398">
        <v>3</v>
      </c>
      <c r="T398" t="s">
        <v>39</v>
      </c>
      <c r="U398" t="s">
        <v>32</v>
      </c>
      <c r="V398">
        <v>1</v>
      </c>
      <c r="W398">
        <v>0</v>
      </c>
      <c r="X398">
        <v>0</v>
      </c>
      <c r="Y398">
        <v>8</v>
      </c>
      <c r="Z398" t="s">
        <v>33</v>
      </c>
    </row>
    <row r="399" spans="1:26" x14ac:dyDescent="0.3">
      <c r="A399" t="s">
        <v>140</v>
      </c>
      <c r="B399" t="s">
        <v>42</v>
      </c>
      <c r="C399">
        <v>26</v>
      </c>
      <c r="D399">
        <v>13</v>
      </c>
      <c r="E399">
        <v>57.692307692307693</v>
      </c>
      <c r="F399" t="b">
        <v>1</v>
      </c>
      <c r="G399">
        <v>52.7</v>
      </c>
      <c r="H399">
        <v>35.700000000000003</v>
      </c>
      <c r="I399">
        <v>50.2</v>
      </c>
      <c r="J399">
        <v>43.6</v>
      </c>
      <c r="K399">
        <v>45.55</v>
      </c>
      <c r="L399" t="s">
        <v>28</v>
      </c>
      <c r="M399">
        <v>5</v>
      </c>
      <c r="N399" t="s">
        <v>55</v>
      </c>
      <c r="O399">
        <v>17</v>
      </c>
      <c r="P399">
        <v>7</v>
      </c>
      <c r="Q399">
        <v>55</v>
      </c>
      <c r="R399" t="s">
        <v>43</v>
      </c>
      <c r="S399">
        <v>3</v>
      </c>
      <c r="T399" t="s">
        <v>44</v>
      </c>
      <c r="U399" t="s">
        <v>32</v>
      </c>
      <c r="V399">
        <v>1</v>
      </c>
      <c r="W399">
        <v>0</v>
      </c>
      <c r="X399">
        <v>0</v>
      </c>
      <c r="Y399">
        <v>7</v>
      </c>
      <c r="Z399" t="s">
        <v>33</v>
      </c>
    </row>
    <row r="400" spans="1:26" x14ac:dyDescent="0.3">
      <c r="A400" t="s">
        <v>141</v>
      </c>
      <c r="B400" t="s">
        <v>34</v>
      </c>
      <c r="C400">
        <v>30</v>
      </c>
      <c r="D400">
        <v>15</v>
      </c>
      <c r="E400">
        <v>70</v>
      </c>
      <c r="F400" t="b">
        <v>1</v>
      </c>
      <c r="G400">
        <v>55.1</v>
      </c>
      <c r="H400">
        <v>61.3</v>
      </c>
      <c r="I400">
        <v>65.5</v>
      </c>
      <c r="J400">
        <v>79.2</v>
      </c>
      <c r="K400">
        <v>65.275000000000006</v>
      </c>
      <c r="L400" t="s">
        <v>61</v>
      </c>
      <c r="M400">
        <v>3</v>
      </c>
      <c r="N400" t="s">
        <v>50</v>
      </c>
      <c r="O400">
        <v>20</v>
      </c>
      <c r="P400">
        <v>7</v>
      </c>
      <c r="Q400">
        <v>63</v>
      </c>
      <c r="R400" t="s">
        <v>35</v>
      </c>
      <c r="S400">
        <v>2</v>
      </c>
      <c r="T400" t="s">
        <v>31</v>
      </c>
      <c r="U400" t="s">
        <v>36</v>
      </c>
      <c r="V400">
        <v>1</v>
      </c>
      <c r="W400">
        <v>0</v>
      </c>
      <c r="X400">
        <v>0</v>
      </c>
      <c r="Y400">
        <v>7</v>
      </c>
      <c r="Z400" t="s">
        <v>37</v>
      </c>
    </row>
    <row r="401" spans="1:26" x14ac:dyDescent="0.3">
      <c r="A401" t="s">
        <v>141</v>
      </c>
      <c r="B401" t="s">
        <v>38</v>
      </c>
      <c r="C401">
        <v>36</v>
      </c>
      <c r="D401">
        <v>21</v>
      </c>
      <c r="E401">
        <v>52.777777777777779</v>
      </c>
      <c r="F401" t="b">
        <v>1</v>
      </c>
      <c r="G401">
        <v>34.9</v>
      </c>
      <c r="H401">
        <v>45.3</v>
      </c>
      <c r="I401">
        <v>41.4</v>
      </c>
      <c r="J401">
        <v>52.4</v>
      </c>
      <c r="K401">
        <v>43.5</v>
      </c>
      <c r="L401" t="s">
        <v>61</v>
      </c>
      <c r="M401">
        <v>3</v>
      </c>
      <c r="N401" t="s">
        <v>50</v>
      </c>
      <c r="O401">
        <v>18</v>
      </c>
      <c r="P401">
        <v>6</v>
      </c>
      <c r="Q401">
        <v>24</v>
      </c>
      <c r="R401" t="s">
        <v>30</v>
      </c>
      <c r="S401">
        <v>3</v>
      </c>
      <c r="T401" t="s">
        <v>39</v>
      </c>
      <c r="U401" t="s">
        <v>32</v>
      </c>
      <c r="V401">
        <v>1</v>
      </c>
      <c r="W401">
        <v>0</v>
      </c>
      <c r="X401">
        <v>0</v>
      </c>
      <c r="Y401">
        <v>6</v>
      </c>
      <c r="Z401" t="s">
        <v>33</v>
      </c>
    </row>
    <row r="402" spans="1:26" x14ac:dyDescent="0.3">
      <c r="A402" t="s">
        <v>141</v>
      </c>
      <c r="B402" t="s">
        <v>40</v>
      </c>
      <c r="C402">
        <v>29</v>
      </c>
      <c r="D402">
        <v>19</v>
      </c>
      <c r="E402">
        <v>55.172413793103438</v>
      </c>
      <c r="F402" t="b">
        <v>1</v>
      </c>
      <c r="G402">
        <v>85.5</v>
      </c>
      <c r="H402">
        <v>62.4</v>
      </c>
      <c r="I402">
        <v>50.3</v>
      </c>
      <c r="J402">
        <v>63.7</v>
      </c>
      <c r="K402">
        <v>65.474999999999994</v>
      </c>
      <c r="L402" t="s">
        <v>61</v>
      </c>
      <c r="M402">
        <v>3</v>
      </c>
      <c r="N402" t="s">
        <v>50</v>
      </c>
      <c r="O402">
        <v>25</v>
      </c>
      <c r="P402">
        <v>3</v>
      </c>
      <c r="Q402">
        <v>56</v>
      </c>
      <c r="R402" t="s">
        <v>30</v>
      </c>
      <c r="S402">
        <v>3</v>
      </c>
      <c r="T402" t="s">
        <v>41</v>
      </c>
      <c r="U402" t="s">
        <v>36</v>
      </c>
      <c r="V402">
        <v>1</v>
      </c>
      <c r="W402">
        <v>0</v>
      </c>
      <c r="X402">
        <v>0</v>
      </c>
      <c r="Y402">
        <v>3</v>
      </c>
      <c r="Z402" t="s">
        <v>37</v>
      </c>
    </row>
    <row r="403" spans="1:26" x14ac:dyDescent="0.3">
      <c r="A403" t="s">
        <v>141</v>
      </c>
      <c r="B403" t="s">
        <v>57</v>
      </c>
      <c r="C403">
        <v>38</v>
      </c>
      <c r="D403">
        <v>16</v>
      </c>
      <c r="E403">
        <v>71.05263157894737</v>
      </c>
      <c r="F403" t="b">
        <v>1</v>
      </c>
      <c r="G403">
        <v>60.7</v>
      </c>
      <c r="H403">
        <v>72</v>
      </c>
      <c r="I403">
        <v>57.8</v>
      </c>
      <c r="J403">
        <v>70.099999999999994</v>
      </c>
      <c r="K403">
        <v>65.150000000000006</v>
      </c>
      <c r="L403" t="s">
        <v>61</v>
      </c>
      <c r="M403">
        <v>3</v>
      </c>
      <c r="N403" t="s">
        <v>50</v>
      </c>
      <c r="O403">
        <v>13</v>
      </c>
      <c r="P403">
        <v>11</v>
      </c>
      <c r="Q403">
        <v>33</v>
      </c>
      <c r="R403" t="s">
        <v>30</v>
      </c>
      <c r="S403">
        <v>4</v>
      </c>
      <c r="T403" t="s">
        <v>58</v>
      </c>
      <c r="U403" t="s">
        <v>36</v>
      </c>
      <c r="V403">
        <v>1</v>
      </c>
      <c r="W403">
        <v>0</v>
      </c>
      <c r="X403">
        <v>0</v>
      </c>
      <c r="Y403">
        <v>11</v>
      </c>
      <c r="Z403" t="s">
        <v>37</v>
      </c>
    </row>
    <row r="404" spans="1:26" x14ac:dyDescent="0.3">
      <c r="A404" t="s">
        <v>141</v>
      </c>
      <c r="B404" t="s">
        <v>42</v>
      </c>
      <c r="C404">
        <v>37</v>
      </c>
      <c r="D404">
        <v>27</v>
      </c>
      <c r="E404">
        <v>56.756756756756758</v>
      </c>
      <c r="F404" t="b">
        <v>1</v>
      </c>
      <c r="G404">
        <v>76.400000000000006</v>
      </c>
      <c r="H404">
        <v>57</v>
      </c>
      <c r="I404">
        <v>68.5</v>
      </c>
      <c r="J404">
        <v>65</v>
      </c>
      <c r="K404">
        <v>66.724999999999994</v>
      </c>
      <c r="L404" t="s">
        <v>61</v>
      </c>
      <c r="M404">
        <v>3</v>
      </c>
      <c r="N404" t="s">
        <v>50</v>
      </c>
      <c r="O404">
        <v>17</v>
      </c>
      <c r="P404">
        <v>7</v>
      </c>
      <c r="Q404">
        <v>50</v>
      </c>
      <c r="R404" t="s">
        <v>43</v>
      </c>
      <c r="S404">
        <v>3</v>
      </c>
      <c r="T404" t="s">
        <v>44</v>
      </c>
      <c r="U404" t="s">
        <v>36</v>
      </c>
      <c r="V404">
        <v>1</v>
      </c>
      <c r="W404">
        <v>0</v>
      </c>
      <c r="X404">
        <v>0</v>
      </c>
      <c r="Y404">
        <v>7</v>
      </c>
      <c r="Z404" t="s">
        <v>37</v>
      </c>
    </row>
    <row r="405" spans="1:26" x14ac:dyDescent="0.3">
      <c r="A405" t="s">
        <v>141</v>
      </c>
      <c r="B405" t="s">
        <v>45</v>
      </c>
      <c r="C405">
        <v>26</v>
      </c>
      <c r="D405">
        <v>21</v>
      </c>
      <c r="E405">
        <v>73.076923076923066</v>
      </c>
      <c r="F405" t="b">
        <v>1</v>
      </c>
      <c r="G405">
        <v>71.8</v>
      </c>
      <c r="H405">
        <v>71</v>
      </c>
      <c r="I405">
        <v>77.5</v>
      </c>
      <c r="J405">
        <v>83.7</v>
      </c>
      <c r="K405">
        <v>76</v>
      </c>
      <c r="L405" t="s">
        <v>61</v>
      </c>
      <c r="M405">
        <v>3</v>
      </c>
      <c r="N405" t="s">
        <v>50</v>
      </c>
      <c r="O405">
        <v>16</v>
      </c>
      <c r="P405">
        <v>9</v>
      </c>
      <c r="Q405">
        <v>59</v>
      </c>
      <c r="R405" t="s">
        <v>46</v>
      </c>
      <c r="S405">
        <v>4</v>
      </c>
      <c r="T405" t="s">
        <v>47</v>
      </c>
      <c r="U405" t="s">
        <v>56</v>
      </c>
      <c r="V405">
        <v>1</v>
      </c>
      <c r="W405">
        <v>0</v>
      </c>
      <c r="X405">
        <v>0</v>
      </c>
      <c r="Y405">
        <v>9</v>
      </c>
      <c r="Z405" t="s">
        <v>37</v>
      </c>
    </row>
    <row r="406" spans="1:26" x14ac:dyDescent="0.3">
      <c r="A406" t="s">
        <v>142</v>
      </c>
      <c r="B406" t="s">
        <v>27</v>
      </c>
      <c r="C406">
        <v>39</v>
      </c>
      <c r="D406">
        <v>19</v>
      </c>
      <c r="E406">
        <v>35.897435897435898</v>
      </c>
      <c r="F406" t="b">
        <v>1</v>
      </c>
      <c r="G406">
        <v>65.099999999999994</v>
      </c>
      <c r="H406">
        <v>67.099999999999994</v>
      </c>
      <c r="I406">
        <v>60.3</v>
      </c>
      <c r="J406">
        <v>60.3</v>
      </c>
      <c r="K406">
        <v>63.2</v>
      </c>
      <c r="L406" t="s">
        <v>61</v>
      </c>
      <c r="M406">
        <v>3</v>
      </c>
      <c r="N406" t="s">
        <v>29</v>
      </c>
      <c r="O406">
        <v>11</v>
      </c>
      <c r="P406">
        <v>9</v>
      </c>
      <c r="Q406">
        <v>44</v>
      </c>
      <c r="R406" t="s">
        <v>30</v>
      </c>
      <c r="S406">
        <v>4</v>
      </c>
      <c r="T406" t="s">
        <v>31</v>
      </c>
      <c r="U406" t="s">
        <v>36</v>
      </c>
      <c r="V406">
        <v>1</v>
      </c>
      <c r="W406">
        <v>0</v>
      </c>
      <c r="X406">
        <v>0</v>
      </c>
      <c r="Y406">
        <v>9</v>
      </c>
      <c r="Z406" t="s">
        <v>37</v>
      </c>
    </row>
    <row r="407" spans="1:26" x14ac:dyDescent="0.3">
      <c r="A407" t="s">
        <v>142</v>
      </c>
      <c r="B407" t="s">
        <v>51</v>
      </c>
      <c r="C407">
        <v>31</v>
      </c>
      <c r="D407">
        <v>14</v>
      </c>
      <c r="E407">
        <v>61.29032258064516</v>
      </c>
      <c r="F407" t="b">
        <v>1</v>
      </c>
      <c r="G407">
        <v>49.9</v>
      </c>
      <c r="H407">
        <v>59.9</v>
      </c>
      <c r="J407">
        <v>57.5</v>
      </c>
      <c r="K407">
        <v>55.766666666666673</v>
      </c>
      <c r="L407" t="s">
        <v>61</v>
      </c>
      <c r="M407">
        <v>3</v>
      </c>
      <c r="N407" t="s">
        <v>29</v>
      </c>
      <c r="O407">
        <v>22</v>
      </c>
      <c r="P407">
        <v>8</v>
      </c>
      <c r="Q407">
        <v>67</v>
      </c>
      <c r="R407" t="s">
        <v>30</v>
      </c>
      <c r="S407">
        <v>3</v>
      </c>
      <c r="T407" t="s">
        <v>52</v>
      </c>
      <c r="U407" t="s">
        <v>32</v>
      </c>
      <c r="V407">
        <v>1</v>
      </c>
      <c r="W407">
        <v>0</v>
      </c>
      <c r="X407">
        <v>1</v>
      </c>
      <c r="Y407">
        <v>8</v>
      </c>
      <c r="Z407" t="s">
        <v>33</v>
      </c>
    </row>
    <row r="408" spans="1:26" x14ac:dyDescent="0.3">
      <c r="A408" t="s">
        <v>142</v>
      </c>
      <c r="B408" t="s">
        <v>38</v>
      </c>
      <c r="C408">
        <v>29</v>
      </c>
      <c r="D408">
        <v>19</v>
      </c>
      <c r="E408">
        <v>62.068965517241381</v>
      </c>
      <c r="F408" t="b">
        <v>1</v>
      </c>
      <c r="G408">
        <v>72.3</v>
      </c>
      <c r="H408">
        <v>65.3</v>
      </c>
      <c r="I408">
        <v>65.599999999999994</v>
      </c>
      <c r="J408">
        <v>55</v>
      </c>
      <c r="K408">
        <v>64.55</v>
      </c>
      <c r="L408" t="s">
        <v>61</v>
      </c>
      <c r="M408">
        <v>3</v>
      </c>
      <c r="N408" t="s">
        <v>29</v>
      </c>
      <c r="O408">
        <v>11</v>
      </c>
      <c r="P408">
        <v>11</v>
      </c>
      <c r="Q408">
        <v>41</v>
      </c>
      <c r="R408" t="s">
        <v>30</v>
      </c>
      <c r="S408">
        <v>3</v>
      </c>
      <c r="T408" t="s">
        <v>39</v>
      </c>
      <c r="U408" t="s">
        <v>36</v>
      </c>
      <c r="V408">
        <v>1</v>
      </c>
      <c r="W408">
        <v>0</v>
      </c>
      <c r="X408">
        <v>0</v>
      </c>
      <c r="Y408">
        <v>11</v>
      </c>
      <c r="Z408" t="s">
        <v>37</v>
      </c>
    </row>
    <row r="409" spans="1:26" x14ac:dyDescent="0.3">
      <c r="A409" t="s">
        <v>142</v>
      </c>
      <c r="B409" t="s">
        <v>40</v>
      </c>
      <c r="C409">
        <v>34</v>
      </c>
      <c r="D409">
        <v>18</v>
      </c>
      <c r="E409">
        <v>61.764705882352942</v>
      </c>
      <c r="F409" t="b">
        <v>1</v>
      </c>
      <c r="G409">
        <v>44.2</v>
      </c>
      <c r="H409">
        <v>60.3</v>
      </c>
      <c r="I409">
        <v>43.9</v>
      </c>
      <c r="J409">
        <v>53.1</v>
      </c>
      <c r="K409">
        <v>50.375</v>
      </c>
      <c r="L409" t="s">
        <v>61</v>
      </c>
      <c r="M409">
        <v>3</v>
      </c>
      <c r="N409" t="s">
        <v>29</v>
      </c>
      <c r="O409">
        <v>9</v>
      </c>
      <c r="P409">
        <v>8</v>
      </c>
      <c r="Q409">
        <v>41</v>
      </c>
      <c r="R409" t="s">
        <v>30</v>
      </c>
      <c r="S409">
        <v>3</v>
      </c>
      <c r="T409" t="s">
        <v>41</v>
      </c>
      <c r="U409" t="s">
        <v>32</v>
      </c>
      <c r="V409">
        <v>1</v>
      </c>
      <c r="W409">
        <v>0</v>
      </c>
      <c r="X409">
        <v>0</v>
      </c>
      <c r="Y409">
        <v>8</v>
      </c>
      <c r="Z409" t="s">
        <v>33</v>
      </c>
    </row>
    <row r="410" spans="1:26" x14ac:dyDescent="0.3">
      <c r="A410" t="s">
        <v>142</v>
      </c>
      <c r="B410" t="s">
        <v>57</v>
      </c>
      <c r="C410">
        <v>33</v>
      </c>
      <c r="D410">
        <v>21</v>
      </c>
      <c r="E410">
        <v>90.909090909090907</v>
      </c>
      <c r="F410" t="b">
        <v>1</v>
      </c>
      <c r="G410">
        <v>75.099999999999994</v>
      </c>
      <c r="H410">
        <v>72.400000000000006</v>
      </c>
      <c r="I410">
        <v>83.4</v>
      </c>
      <c r="J410">
        <v>59.4</v>
      </c>
      <c r="K410">
        <v>72.575000000000003</v>
      </c>
      <c r="L410" t="s">
        <v>61</v>
      </c>
      <c r="M410">
        <v>3</v>
      </c>
      <c r="N410" t="s">
        <v>29</v>
      </c>
      <c r="O410">
        <v>6</v>
      </c>
      <c r="P410">
        <v>7</v>
      </c>
      <c r="Q410">
        <v>36</v>
      </c>
      <c r="R410" t="s">
        <v>30</v>
      </c>
      <c r="S410">
        <v>4</v>
      </c>
      <c r="T410" t="s">
        <v>58</v>
      </c>
      <c r="U410" t="s">
        <v>36</v>
      </c>
      <c r="V410">
        <v>0</v>
      </c>
      <c r="W410">
        <v>0</v>
      </c>
      <c r="X410">
        <v>0</v>
      </c>
      <c r="Y410">
        <v>7</v>
      </c>
      <c r="Z410" t="s">
        <v>37</v>
      </c>
    </row>
    <row r="411" spans="1:26" x14ac:dyDescent="0.3">
      <c r="A411" t="s">
        <v>142</v>
      </c>
      <c r="B411" t="s">
        <v>45</v>
      </c>
      <c r="C411">
        <v>33</v>
      </c>
      <c r="D411">
        <v>30</v>
      </c>
      <c r="E411">
        <v>51.515151515151523</v>
      </c>
      <c r="F411" t="b">
        <v>1</v>
      </c>
      <c r="G411">
        <v>43.3</v>
      </c>
      <c r="H411">
        <v>44</v>
      </c>
      <c r="I411">
        <v>28.8</v>
      </c>
      <c r="J411">
        <v>57.1</v>
      </c>
      <c r="K411">
        <v>43.3</v>
      </c>
      <c r="L411" t="s">
        <v>61</v>
      </c>
      <c r="M411">
        <v>3</v>
      </c>
      <c r="N411" t="s">
        <v>29</v>
      </c>
      <c r="O411">
        <v>13</v>
      </c>
      <c r="P411">
        <v>10</v>
      </c>
      <c r="Q411">
        <v>46</v>
      </c>
      <c r="R411" t="s">
        <v>46</v>
      </c>
      <c r="S411">
        <v>4</v>
      </c>
      <c r="T411" t="s">
        <v>47</v>
      </c>
      <c r="U411" t="s">
        <v>32</v>
      </c>
      <c r="V411">
        <v>1</v>
      </c>
      <c r="W411">
        <v>0</v>
      </c>
      <c r="X411">
        <v>0</v>
      </c>
      <c r="Y411">
        <v>10</v>
      </c>
      <c r="Z411" t="s">
        <v>33</v>
      </c>
    </row>
    <row r="412" spans="1:26" x14ac:dyDescent="0.3">
      <c r="A412" t="s">
        <v>143</v>
      </c>
      <c r="B412" t="s">
        <v>27</v>
      </c>
      <c r="C412">
        <v>28</v>
      </c>
      <c r="D412">
        <v>17</v>
      </c>
      <c r="E412">
        <v>46.428571428571431</v>
      </c>
      <c r="F412" t="b">
        <v>1</v>
      </c>
      <c r="G412">
        <v>55.4</v>
      </c>
      <c r="H412">
        <v>62.8</v>
      </c>
      <c r="I412">
        <v>53.2</v>
      </c>
      <c r="J412">
        <v>86.5</v>
      </c>
      <c r="K412">
        <v>64.474999999999994</v>
      </c>
      <c r="L412" t="s">
        <v>61</v>
      </c>
      <c r="M412">
        <v>4</v>
      </c>
      <c r="N412" t="s">
        <v>50</v>
      </c>
      <c r="O412">
        <v>5</v>
      </c>
      <c r="P412">
        <v>8</v>
      </c>
      <c r="Q412">
        <v>29</v>
      </c>
      <c r="R412" t="s">
        <v>30</v>
      </c>
      <c r="S412">
        <v>4</v>
      </c>
      <c r="T412" t="s">
        <v>31</v>
      </c>
      <c r="U412" t="s">
        <v>36</v>
      </c>
      <c r="V412">
        <v>1</v>
      </c>
      <c r="W412">
        <v>0</v>
      </c>
      <c r="X412">
        <v>0</v>
      </c>
      <c r="Y412">
        <v>8</v>
      </c>
      <c r="Z412" t="s">
        <v>37</v>
      </c>
    </row>
    <row r="413" spans="1:26" x14ac:dyDescent="0.3">
      <c r="A413" t="s">
        <v>143</v>
      </c>
      <c r="B413" t="s">
        <v>34</v>
      </c>
      <c r="C413">
        <v>39</v>
      </c>
      <c r="D413">
        <v>13</v>
      </c>
      <c r="E413">
        <v>69.230769230769226</v>
      </c>
      <c r="F413" t="b">
        <v>1</v>
      </c>
      <c r="G413">
        <v>38.9</v>
      </c>
      <c r="H413">
        <v>39.1</v>
      </c>
      <c r="I413">
        <v>61.7</v>
      </c>
      <c r="J413">
        <v>60.8</v>
      </c>
      <c r="K413">
        <v>50.125</v>
      </c>
      <c r="L413" t="s">
        <v>61</v>
      </c>
      <c r="M413">
        <v>4</v>
      </c>
      <c r="N413" t="s">
        <v>50</v>
      </c>
      <c r="O413">
        <v>20</v>
      </c>
      <c r="P413">
        <v>6</v>
      </c>
      <c r="Q413">
        <v>72</v>
      </c>
      <c r="R413" t="s">
        <v>35</v>
      </c>
      <c r="S413">
        <v>2</v>
      </c>
      <c r="T413" t="s">
        <v>31</v>
      </c>
      <c r="U413" t="s">
        <v>32</v>
      </c>
      <c r="V413">
        <v>1</v>
      </c>
      <c r="W413">
        <v>0</v>
      </c>
      <c r="X413">
        <v>0</v>
      </c>
      <c r="Y413">
        <v>6</v>
      </c>
      <c r="Z413" t="s">
        <v>33</v>
      </c>
    </row>
    <row r="414" spans="1:26" x14ac:dyDescent="0.3">
      <c r="A414" t="s">
        <v>143</v>
      </c>
      <c r="B414" t="s">
        <v>40</v>
      </c>
      <c r="C414">
        <v>30</v>
      </c>
      <c r="D414">
        <v>27</v>
      </c>
      <c r="E414">
        <v>50</v>
      </c>
      <c r="F414" t="b">
        <v>1</v>
      </c>
      <c r="G414">
        <v>72</v>
      </c>
      <c r="H414">
        <v>66.7</v>
      </c>
      <c r="I414">
        <v>56.4</v>
      </c>
      <c r="J414">
        <v>68.2</v>
      </c>
      <c r="K414">
        <v>65.825000000000003</v>
      </c>
      <c r="L414" t="s">
        <v>61</v>
      </c>
      <c r="M414">
        <v>4</v>
      </c>
      <c r="N414" t="s">
        <v>50</v>
      </c>
      <c r="O414">
        <v>16</v>
      </c>
      <c r="P414">
        <v>8</v>
      </c>
      <c r="Q414">
        <v>47</v>
      </c>
      <c r="R414" t="s">
        <v>30</v>
      </c>
      <c r="S414">
        <v>3</v>
      </c>
      <c r="T414" t="s">
        <v>41</v>
      </c>
      <c r="U414" t="s">
        <v>36</v>
      </c>
      <c r="V414">
        <v>1</v>
      </c>
      <c r="W414">
        <v>0</v>
      </c>
      <c r="X414">
        <v>0</v>
      </c>
      <c r="Y414">
        <v>8</v>
      </c>
      <c r="Z414" t="s">
        <v>37</v>
      </c>
    </row>
    <row r="415" spans="1:26" x14ac:dyDescent="0.3">
      <c r="A415" t="s">
        <v>143</v>
      </c>
      <c r="B415" t="s">
        <v>57</v>
      </c>
      <c r="C415">
        <v>29</v>
      </c>
      <c r="D415">
        <v>15</v>
      </c>
      <c r="E415">
        <v>55.172413793103438</v>
      </c>
      <c r="F415" t="b">
        <v>1</v>
      </c>
      <c r="G415">
        <v>61</v>
      </c>
      <c r="H415">
        <v>36.700000000000003</v>
      </c>
      <c r="I415">
        <v>44.5</v>
      </c>
      <c r="J415">
        <v>65.7</v>
      </c>
      <c r="K415">
        <v>51.975000000000001</v>
      </c>
      <c r="L415" t="s">
        <v>61</v>
      </c>
      <c r="M415">
        <v>4</v>
      </c>
      <c r="N415" t="s">
        <v>50</v>
      </c>
      <c r="O415">
        <v>15</v>
      </c>
      <c r="P415">
        <v>9</v>
      </c>
      <c r="Q415">
        <v>57</v>
      </c>
      <c r="R415" t="s">
        <v>30</v>
      </c>
      <c r="S415">
        <v>4</v>
      </c>
      <c r="T415" t="s">
        <v>58</v>
      </c>
      <c r="U415" t="s">
        <v>32</v>
      </c>
      <c r="V415">
        <v>1</v>
      </c>
      <c r="W415">
        <v>0</v>
      </c>
      <c r="X415">
        <v>0</v>
      </c>
      <c r="Y415">
        <v>9</v>
      </c>
      <c r="Z415" t="s">
        <v>33</v>
      </c>
    </row>
    <row r="416" spans="1:26" x14ac:dyDescent="0.3">
      <c r="A416" t="s">
        <v>143</v>
      </c>
      <c r="B416" t="s">
        <v>42</v>
      </c>
      <c r="C416">
        <v>37</v>
      </c>
      <c r="D416">
        <v>16</v>
      </c>
      <c r="E416">
        <v>51.351351351351347</v>
      </c>
      <c r="F416" t="b">
        <v>1</v>
      </c>
      <c r="G416">
        <v>68.8</v>
      </c>
      <c r="H416">
        <v>53.7</v>
      </c>
      <c r="I416">
        <v>48.9</v>
      </c>
      <c r="J416">
        <v>67.2</v>
      </c>
      <c r="K416">
        <v>59.650000000000013</v>
      </c>
      <c r="L416" t="s">
        <v>61</v>
      </c>
      <c r="M416">
        <v>4</v>
      </c>
      <c r="N416" t="s">
        <v>50</v>
      </c>
      <c r="O416">
        <v>31</v>
      </c>
      <c r="P416">
        <v>9</v>
      </c>
      <c r="Q416">
        <v>90</v>
      </c>
      <c r="R416" t="s">
        <v>43</v>
      </c>
      <c r="S416">
        <v>3</v>
      </c>
      <c r="T416" t="s">
        <v>44</v>
      </c>
      <c r="U416" t="s">
        <v>32</v>
      </c>
      <c r="V416">
        <v>1</v>
      </c>
      <c r="W416">
        <v>0</v>
      </c>
      <c r="X416">
        <v>0</v>
      </c>
      <c r="Y416">
        <v>9</v>
      </c>
      <c r="Z416" t="s">
        <v>33</v>
      </c>
    </row>
    <row r="417" spans="1:26" x14ac:dyDescent="0.3">
      <c r="A417" t="s">
        <v>144</v>
      </c>
      <c r="B417" t="s">
        <v>27</v>
      </c>
      <c r="C417">
        <v>28</v>
      </c>
      <c r="D417">
        <v>19</v>
      </c>
      <c r="E417">
        <v>46.428571428571431</v>
      </c>
      <c r="F417" t="b">
        <v>1</v>
      </c>
      <c r="G417">
        <v>73.900000000000006</v>
      </c>
      <c r="H417">
        <v>69.2</v>
      </c>
      <c r="I417">
        <v>79.099999999999994</v>
      </c>
      <c r="J417">
        <v>64.2</v>
      </c>
      <c r="K417">
        <v>71.600000000000009</v>
      </c>
      <c r="L417" t="s">
        <v>28</v>
      </c>
      <c r="M417">
        <v>3</v>
      </c>
      <c r="N417" t="s">
        <v>29</v>
      </c>
      <c r="O417">
        <v>19</v>
      </c>
      <c r="P417">
        <v>11</v>
      </c>
      <c r="Q417">
        <v>50</v>
      </c>
      <c r="R417" t="s">
        <v>30</v>
      </c>
      <c r="S417">
        <v>4</v>
      </c>
      <c r="T417" t="s">
        <v>31</v>
      </c>
      <c r="U417" t="s">
        <v>36</v>
      </c>
      <c r="V417">
        <v>1</v>
      </c>
      <c r="W417">
        <v>0</v>
      </c>
      <c r="X417">
        <v>0</v>
      </c>
      <c r="Y417">
        <v>11</v>
      </c>
      <c r="Z417" t="s">
        <v>37</v>
      </c>
    </row>
    <row r="418" spans="1:26" x14ac:dyDescent="0.3">
      <c r="A418" t="s">
        <v>144</v>
      </c>
      <c r="B418" t="s">
        <v>51</v>
      </c>
      <c r="C418">
        <v>35</v>
      </c>
      <c r="D418">
        <v>13</v>
      </c>
      <c r="E418">
        <v>62.857142857142847</v>
      </c>
      <c r="F418" t="b">
        <v>1</v>
      </c>
      <c r="G418">
        <v>87.3</v>
      </c>
      <c r="H418">
        <v>85.7</v>
      </c>
      <c r="I418">
        <v>92.4</v>
      </c>
      <c r="J418">
        <v>83.6</v>
      </c>
      <c r="K418">
        <v>87.25</v>
      </c>
      <c r="L418" t="s">
        <v>28</v>
      </c>
      <c r="M418">
        <v>3</v>
      </c>
      <c r="N418" t="s">
        <v>29</v>
      </c>
      <c r="O418">
        <v>12</v>
      </c>
      <c r="P418">
        <v>14</v>
      </c>
      <c r="Q418">
        <v>36</v>
      </c>
      <c r="R418" t="s">
        <v>30</v>
      </c>
      <c r="S418">
        <v>3</v>
      </c>
      <c r="T418" t="s">
        <v>52</v>
      </c>
      <c r="U418" t="s">
        <v>56</v>
      </c>
      <c r="V418">
        <v>1</v>
      </c>
      <c r="W418">
        <v>0</v>
      </c>
      <c r="X418">
        <v>0</v>
      </c>
      <c r="Y418">
        <v>14</v>
      </c>
      <c r="Z418" t="s">
        <v>37</v>
      </c>
    </row>
    <row r="419" spans="1:26" x14ac:dyDescent="0.3">
      <c r="A419" t="s">
        <v>144</v>
      </c>
      <c r="B419" t="s">
        <v>34</v>
      </c>
      <c r="C419">
        <v>38</v>
      </c>
      <c r="D419">
        <v>22</v>
      </c>
      <c r="E419">
        <v>34.210526315789473</v>
      </c>
      <c r="F419" t="b">
        <v>1</v>
      </c>
      <c r="G419">
        <v>86.8</v>
      </c>
      <c r="H419">
        <v>81.599999999999994</v>
      </c>
      <c r="I419">
        <v>87</v>
      </c>
      <c r="J419">
        <v>78.3</v>
      </c>
      <c r="K419">
        <v>83.424999999999997</v>
      </c>
      <c r="L419" t="s">
        <v>28</v>
      </c>
      <c r="M419">
        <v>3</v>
      </c>
      <c r="N419" t="s">
        <v>29</v>
      </c>
      <c r="O419">
        <v>10</v>
      </c>
      <c r="P419">
        <v>10</v>
      </c>
      <c r="Q419">
        <v>38</v>
      </c>
      <c r="R419" t="s">
        <v>35</v>
      </c>
      <c r="S419">
        <v>2</v>
      </c>
      <c r="T419" t="s">
        <v>31</v>
      </c>
      <c r="U419" t="s">
        <v>56</v>
      </c>
      <c r="V419">
        <v>1</v>
      </c>
      <c r="W419">
        <v>0</v>
      </c>
      <c r="X419">
        <v>0</v>
      </c>
      <c r="Y419">
        <v>10</v>
      </c>
      <c r="Z419" t="s">
        <v>37</v>
      </c>
    </row>
    <row r="420" spans="1:26" x14ac:dyDescent="0.3">
      <c r="A420" t="s">
        <v>144</v>
      </c>
      <c r="B420" t="s">
        <v>38</v>
      </c>
      <c r="C420">
        <v>30</v>
      </c>
      <c r="D420">
        <v>13</v>
      </c>
      <c r="E420">
        <v>63.333333333333329</v>
      </c>
      <c r="F420" t="b">
        <v>1</v>
      </c>
      <c r="G420">
        <v>76.599999999999994</v>
      </c>
      <c r="H420">
        <v>94.9</v>
      </c>
      <c r="I420">
        <v>85.8</v>
      </c>
      <c r="J420">
        <v>79.8</v>
      </c>
      <c r="K420">
        <v>84.275000000000006</v>
      </c>
      <c r="L420" t="s">
        <v>28</v>
      </c>
      <c r="M420">
        <v>3</v>
      </c>
      <c r="N420" t="s">
        <v>29</v>
      </c>
      <c r="O420">
        <v>12</v>
      </c>
      <c r="P420">
        <v>10</v>
      </c>
      <c r="Q420">
        <v>59</v>
      </c>
      <c r="R420" t="s">
        <v>30</v>
      </c>
      <c r="S420">
        <v>3</v>
      </c>
      <c r="T420" t="s">
        <v>39</v>
      </c>
      <c r="U420" t="s">
        <v>56</v>
      </c>
      <c r="V420">
        <v>1</v>
      </c>
      <c r="W420">
        <v>0</v>
      </c>
      <c r="X420">
        <v>0</v>
      </c>
      <c r="Y420">
        <v>10</v>
      </c>
      <c r="Z420" t="s">
        <v>37</v>
      </c>
    </row>
    <row r="421" spans="1:26" x14ac:dyDescent="0.3">
      <c r="A421" t="s">
        <v>144</v>
      </c>
      <c r="B421" t="s">
        <v>42</v>
      </c>
      <c r="C421">
        <v>30</v>
      </c>
      <c r="D421">
        <v>19</v>
      </c>
      <c r="E421">
        <v>70</v>
      </c>
      <c r="F421" t="b">
        <v>1</v>
      </c>
      <c r="G421">
        <v>76.400000000000006</v>
      </c>
      <c r="H421">
        <v>85.8</v>
      </c>
      <c r="I421">
        <v>78.5</v>
      </c>
      <c r="J421">
        <v>89.6</v>
      </c>
      <c r="K421">
        <v>82.574999999999989</v>
      </c>
      <c r="L421" t="s">
        <v>28</v>
      </c>
      <c r="M421">
        <v>3</v>
      </c>
      <c r="N421" t="s">
        <v>29</v>
      </c>
      <c r="O421">
        <v>7</v>
      </c>
      <c r="P421">
        <v>13</v>
      </c>
      <c r="Q421">
        <v>31</v>
      </c>
      <c r="R421" t="s">
        <v>43</v>
      </c>
      <c r="S421">
        <v>3</v>
      </c>
      <c r="T421" t="s">
        <v>44</v>
      </c>
      <c r="U421" t="s">
        <v>56</v>
      </c>
      <c r="V421">
        <v>1</v>
      </c>
      <c r="W421">
        <v>0</v>
      </c>
      <c r="X421">
        <v>0</v>
      </c>
      <c r="Y421">
        <v>13</v>
      </c>
      <c r="Z421" t="s">
        <v>37</v>
      </c>
    </row>
    <row r="422" spans="1:26" x14ac:dyDescent="0.3">
      <c r="A422" t="s">
        <v>145</v>
      </c>
      <c r="B422" t="s">
        <v>27</v>
      </c>
      <c r="C422">
        <v>40</v>
      </c>
      <c r="D422">
        <v>21</v>
      </c>
      <c r="E422">
        <v>57.499999999999993</v>
      </c>
      <c r="F422" t="b">
        <v>1</v>
      </c>
      <c r="G422">
        <v>68.5</v>
      </c>
      <c r="H422">
        <v>76.8</v>
      </c>
      <c r="I422">
        <v>70.900000000000006</v>
      </c>
      <c r="J422">
        <v>94.9</v>
      </c>
      <c r="K422">
        <v>77.775000000000006</v>
      </c>
      <c r="L422" t="s">
        <v>49</v>
      </c>
      <c r="M422">
        <v>5</v>
      </c>
      <c r="N422" t="s">
        <v>50</v>
      </c>
      <c r="O422">
        <v>8</v>
      </c>
      <c r="P422">
        <v>7</v>
      </c>
      <c r="Q422">
        <v>17</v>
      </c>
      <c r="R422" t="s">
        <v>30</v>
      </c>
      <c r="S422">
        <v>4</v>
      </c>
      <c r="T422" t="s">
        <v>31</v>
      </c>
      <c r="U422" t="s">
        <v>56</v>
      </c>
      <c r="V422">
        <v>1</v>
      </c>
      <c r="W422">
        <v>0</v>
      </c>
      <c r="X422">
        <v>0</v>
      </c>
      <c r="Y422">
        <v>7</v>
      </c>
      <c r="Z422" t="s">
        <v>37</v>
      </c>
    </row>
    <row r="423" spans="1:26" x14ac:dyDescent="0.3">
      <c r="A423" t="s">
        <v>145</v>
      </c>
      <c r="B423" t="s">
        <v>51</v>
      </c>
      <c r="C423">
        <v>26</v>
      </c>
      <c r="D423">
        <v>23</v>
      </c>
      <c r="E423">
        <v>92.307692307692307</v>
      </c>
      <c r="F423" t="b">
        <v>1</v>
      </c>
      <c r="G423">
        <v>60.9</v>
      </c>
      <c r="H423">
        <v>80.900000000000006</v>
      </c>
      <c r="I423">
        <v>41.2</v>
      </c>
      <c r="J423">
        <v>64.900000000000006</v>
      </c>
      <c r="K423">
        <v>61.975000000000001</v>
      </c>
      <c r="L423" t="s">
        <v>49</v>
      </c>
      <c r="M423">
        <v>5</v>
      </c>
      <c r="N423" t="s">
        <v>50</v>
      </c>
      <c r="O423">
        <v>18</v>
      </c>
      <c r="P423">
        <v>9</v>
      </c>
      <c r="Q423">
        <v>38</v>
      </c>
      <c r="R423" t="s">
        <v>30</v>
      </c>
      <c r="S423">
        <v>3</v>
      </c>
      <c r="T423" t="s">
        <v>52</v>
      </c>
      <c r="U423" t="s">
        <v>36</v>
      </c>
      <c r="V423">
        <v>0</v>
      </c>
      <c r="W423">
        <v>0</v>
      </c>
      <c r="X423">
        <v>0</v>
      </c>
      <c r="Y423">
        <v>9</v>
      </c>
      <c r="Z423" t="s">
        <v>37</v>
      </c>
    </row>
    <row r="424" spans="1:26" x14ac:dyDescent="0.3">
      <c r="A424" t="s">
        <v>145</v>
      </c>
      <c r="B424" t="s">
        <v>34</v>
      </c>
      <c r="C424">
        <v>40</v>
      </c>
      <c r="D424">
        <v>24</v>
      </c>
      <c r="E424">
        <v>47.5</v>
      </c>
      <c r="F424" t="b">
        <v>1</v>
      </c>
      <c r="G424">
        <v>66.3</v>
      </c>
      <c r="H424">
        <v>80.5</v>
      </c>
      <c r="I424">
        <v>77.5</v>
      </c>
      <c r="J424">
        <v>79.5</v>
      </c>
      <c r="K424">
        <v>75.95</v>
      </c>
      <c r="L424" t="s">
        <v>49</v>
      </c>
      <c r="M424">
        <v>5</v>
      </c>
      <c r="N424" t="s">
        <v>50</v>
      </c>
      <c r="O424">
        <v>13</v>
      </c>
      <c r="P424">
        <v>9</v>
      </c>
      <c r="Q424">
        <v>41</v>
      </c>
      <c r="R424" t="s">
        <v>35</v>
      </c>
      <c r="S424">
        <v>2</v>
      </c>
      <c r="T424" t="s">
        <v>31</v>
      </c>
      <c r="U424" t="s">
        <v>56</v>
      </c>
      <c r="V424">
        <v>1</v>
      </c>
      <c r="W424">
        <v>0</v>
      </c>
      <c r="X424">
        <v>0</v>
      </c>
      <c r="Y424">
        <v>9</v>
      </c>
      <c r="Z424" t="s">
        <v>37</v>
      </c>
    </row>
    <row r="425" spans="1:26" x14ac:dyDescent="0.3">
      <c r="A425" t="s">
        <v>145</v>
      </c>
      <c r="B425" t="s">
        <v>57</v>
      </c>
      <c r="C425">
        <v>38</v>
      </c>
      <c r="D425">
        <v>19</v>
      </c>
      <c r="E425">
        <v>55.26315789473685</v>
      </c>
      <c r="F425" t="b">
        <v>1</v>
      </c>
      <c r="G425">
        <v>55.7</v>
      </c>
      <c r="H425">
        <v>49.3</v>
      </c>
      <c r="I425">
        <v>48.2</v>
      </c>
      <c r="J425">
        <v>82.3</v>
      </c>
      <c r="K425">
        <v>58.875</v>
      </c>
      <c r="L425" t="s">
        <v>49</v>
      </c>
      <c r="M425">
        <v>5</v>
      </c>
      <c r="N425" t="s">
        <v>50</v>
      </c>
      <c r="O425">
        <v>20</v>
      </c>
      <c r="P425">
        <v>10</v>
      </c>
      <c r="Q425">
        <v>47</v>
      </c>
      <c r="R425" t="s">
        <v>30</v>
      </c>
      <c r="S425">
        <v>4</v>
      </c>
      <c r="T425" t="s">
        <v>58</v>
      </c>
      <c r="U425" t="s">
        <v>32</v>
      </c>
      <c r="V425">
        <v>1</v>
      </c>
      <c r="W425">
        <v>0</v>
      </c>
      <c r="X425">
        <v>0</v>
      </c>
      <c r="Y425">
        <v>10</v>
      </c>
      <c r="Z425" t="s">
        <v>33</v>
      </c>
    </row>
    <row r="426" spans="1:26" x14ac:dyDescent="0.3">
      <c r="A426" t="s">
        <v>146</v>
      </c>
      <c r="B426" t="s">
        <v>27</v>
      </c>
      <c r="C426">
        <v>39</v>
      </c>
      <c r="D426">
        <v>21</v>
      </c>
      <c r="E426">
        <v>79.487179487179489</v>
      </c>
      <c r="F426" t="b">
        <v>1</v>
      </c>
      <c r="G426">
        <v>81.900000000000006</v>
      </c>
      <c r="H426">
        <v>69.599999999999994</v>
      </c>
      <c r="I426">
        <v>66.099999999999994</v>
      </c>
      <c r="J426">
        <v>85.1</v>
      </c>
      <c r="K426">
        <v>75.674999999999997</v>
      </c>
      <c r="L426" t="s">
        <v>61</v>
      </c>
      <c r="M426">
        <v>3</v>
      </c>
      <c r="N426" t="s">
        <v>50</v>
      </c>
      <c r="O426">
        <v>16</v>
      </c>
      <c r="P426">
        <v>9</v>
      </c>
      <c r="Q426">
        <v>53</v>
      </c>
      <c r="R426" t="s">
        <v>30</v>
      </c>
      <c r="S426">
        <v>4</v>
      </c>
      <c r="T426" t="s">
        <v>31</v>
      </c>
      <c r="U426" t="s">
        <v>56</v>
      </c>
      <c r="V426">
        <v>0</v>
      </c>
      <c r="W426">
        <v>0</v>
      </c>
      <c r="X426">
        <v>0</v>
      </c>
      <c r="Y426">
        <v>9</v>
      </c>
      <c r="Z426" t="s">
        <v>37</v>
      </c>
    </row>
    <row r="427" spans="1:26" x14ac:dyDescent="0.3">
      <c r="A427" t="s">
        <v>146</v>
      </c>
      <c r="B427" t="s">
        <v>51</v>
      </c>
      <c r="C427">
        <v>34</v>
      </c>
      <c r="D427">
        <v>31</v>
      </c>
      <c r="E427">
        <v>55.882352941176471</v>
      </c>
      <c r="F427" t="b">
        <v>1</v>
      </c>
      <c r="G427">
        <v>96.9</v>
      </c>
      <c r="H427">
        <v>77</v>
      </c>
      <c r="I427">
        <v>52.5</v>
      </c>
      <c r="K427">
        <v>75.466666666666669</v>
      </c>
      <c r="L427" t="s">
        <v>61</v>
      </c>
      <c r="M427">
        <v>3</v>
      </c>
      <c r="N427" t="s">
        <v>50</v>
      </c>
      <c r="O427">
        <v>11</v>
      </c>
      <c r="P427">
        <v>7</v>
      </c>
      <c r="Q427">
        <v>30</v>
      </c>
      <c r="R427" t="s">
        <v>30</v>
      </c>
      <c r="S427">
        <v>3</v>
      </c>
      <c r="T427" t="s">
        <v>52</v>
      </c>
      <c r="U427" t="s">
        <v>56</v>
      </c>
      <c r="V427">
        <v>1</v>
      </c>
      <c r="W427">
        <v>0</v>
      </c>
      <c r="X427">
        <v>1</v>
      </c>
      <c r="Y427">
        <v>7</v>
      </c>
      <c r="Z427" t="s">
        <v>37</v>
      </c>
    </row>
    <row r="428" spans="1:26" x14ac:dyDescent="0.3">
      <c r="A428" t="s">
        <v>146</v>
      </c>
      <c r="B428" t="s">
        <v>38</v>
      </c>
      <c r="C428">
        <v>25</v>
      </c>
      <c r="D428">
        <v>19</v>
      </c>
      <c r="E428">
        <v>64</v>
      </c>
      <c r="F428" t="b">
        <v>1</v>
      </c>
      <c r="G428">
        <v>90.9</v>
      </c>
      <c r="H428">
        <v>83.9</v>
      </c>
      <c r="I428">
        <v>67.599999999999994</v>
      </c>
      <c r="J428">
        <v>64.099999999999994</v>
      </c>
      <c r="K428">
        <v>76.625</v>
      </c>
      <c r="L428" t="s">
        <v>61</v>
      </c>
      <c r="M428">
        <v>3</v>
      </c>
      <c r="N428" t="s">
        <v>50</v>
      </c>
      <c r="O428">
        <v>19</v>
      </c>
      <c r="P428">
        <v>9</v>
      </c>
      <c r="Q428">
        <v>56</v>
      </c>
      <c r="R428" t="s">
        <v>30</v>
      </c>
      <c r="S428">
        <v>3</v>
      </c>
      <c r="T428" t="s">
        <v>39</v>
      </c>
      <c r="U428" t="s">
        <v>56</v>
      </c>
      <c r="V428">
        <v>1</v>
      </c>
      <c r="W428">
        <v>0</v>
      </c>
      <c r="X428">
        <v>0</v>
      </c>
      <c r="Y428">
        <v>9</v>
      </c>
      <c r="Z428" t="s">
        <v>37</v>
      </c>
    </row>
    <row r="429" spans="1:26" x14ac:dyDescent="0.3">
      <c r="A429" t="s">
        <v>146</v>
      </c>
      <c r="B429" t="s">
        <v>57</v>
      </c>
      <c r="C429">
        <v>26</v>
      </c>
      <c r="D429">
        <v>16</v>
      </c>
      <c r="E429">
        <v>61.53846153846154</v>
      </c>
      <c r="F429" t="b">
        <v>1</v>
      </c>
      <c r="G429">
        <v>93</v>
      </c>
      <c r="H429">
        <v>77.2</v>
      </c>
      <c r="I429">
        <v>88.4</v>
      </c>
      <c r="J429">
        <v>85.9</v>
      </c>
      <c r="K429">
        <v>86.125</v>
      </c>
      <c r="L429" t="s">
        <v>61</v>
      </c>
      <c r="M429">
        <v>3</v>
      </c>
      <c r="N429" t="s">
        <v>50</v>
      </c>
      <c r="O429">
        <v>11</v>
      </c>
      <c r="P429">
        <v>7</v>
      </c>
      <c r="Q429">
        <v>32</v>
      </c>
      <c r="R429" t="s">
        <v>30</v>
      </c>
      <c r="S429">
        <v>4</v>
      </c>
      <c r="T429" t="s">
        <v>58</v>
      </c>
      <c r="U429" t="s">
        <v>56</v>
      </c>
      <c r="V429">
        <v>1</v>
      </c>
      <c r="W429">
        <v>0</v>
      </c>
      <c r="X429">
        <v>0</v>
      </c>
      <c r="Y429">
        <v>7</v>
      </c>
      <c r="Z429" t="s">
        <v>37</v>
      </c>
    </row>
    <row r="430" spans="1:26" x14ac:dyDescent="0.3">
      <c r="A430" t="s">
        <v>147</v>
      </c>
      <c r="B430" t="s">
        <v>38</v>
      </c>
      <c r="C430">
        <v>24</v>
      </c>
      <c r="D430">
        <v>16</v>
      </c>
      <c r="E430">
        <v>75</v>
      </c>
      <c r="F430" t="b">
        <v>1</v>
      </c>
      <c r="G430">
        <v>94.5</v>
      </c>
      <c r="H430">
        <v>97.1</v>
      </c>
      <c r="I430">
        <v>71.3</v>
      </c>
      <c r="J430">
        <v>100</v>
      </c>
      <c r="K430">
        <v>90.724999999999994</v>
      </c>
      <c r="L430" t="s">
        <v>49</v>
      </c>
      <c r="M430">
        <v>5</v>
      </c>
      <c r="N430" t="s">
        <v>55</v>
      </c>
      <c r="O430">
        <v>21</v>
      </c>
      <c r="P430">
        <v>7</v>
      </c>
      <c r="Q430">
        <v>57</v>
      </c>
      <c r="R430" t="s">
        <v>30</v>
      </c>
      <c r="S430">
        <v>3</v>
      </c>
      <c r="T430" t="s">
        <v>39</v>
      </c>
      <c r="U430" t="s">
        <v>56</v>
      </c>
      <c r="V430">
        <v>0</v>
      </c>
      <c r="W430">
        <v>0</v>
      </c>
      <c r="X430">
        <v>0</v>
      </c>
      <c r="Y430">
        <v>7</v>
      </c>
      <c r="Z430" t="s">
        <v>37</v>
      </c>
    </row>
    <row r="431" spans="1:26" x14ac:dyDescent="0.3">
      <c r="A431" t="s">
        <v>147</v>
      </c>
      <c r="B431" t="s">
        <v>40</v>
      </c>
      <c r="C431">
        <v>40</v>
      </c>
      <c r="D431">
        <v>18</v>
      </c>
      <c r="E431">
        <v>87.5</v>
      </c>
      <c r="F431" t="b">
        <v>1</v>
      </c>
      <c r="G431">
        <v>100</v>
      </c>
      <c r="H431">
        <v>97.6</v>
      </c>
      <c r="I431">
        <v>70.3</v>
      </c>
      <c r="J431">
        <v>85</v>
      </c>
      <c r="K431">
        <v>88.224999999999994</v>
      </c>
      <c r="L431" t="s">
        <v>49</v>
      </c>
      <c r="M431">
        <v>5</v>
      </c>
      <c r="N431" t="s">
        <v>55</v>
      </c>
      <c r="O431">
        <v>27</v>
      </c>
      <c r="P431">
        <v>13</v>
      </c>
      <c r="Q431">
        <v>72</v>
      </c>
      <c r="R431" t="s">
        <v>30</v>
      </c>
      <c r="S431">
        <v>3</v>
      </c>
      <c r="T431" t="s">
        <v>41</v>
      </c>
      <c r="U431" t="s">
        <v>56</v>
      </c>
      <c r="V431">
        <v>0</v>
      </c>
      <c r="W431">
        <v>0</v>
      </c>
      <c r="X431">
        <v>0</v>
      </c>
      <c r="Y431">
        <v>13</v>
      </c>
      <c r="Z431" t="s">
        <v>37</v>
      </c>
    </row>
    <row r="432" spans="1:26" x14ac:dyDescent="0.3">
      <c r="A432" t="s">
        <v>147</v>
      </c>
      <c r="B432" t="s">
        <v>57</v>
      </c>
      <c r="C432">
        <v>36</v>
      </c>
      <c r="D432">
        <v>35</v>
      </c>
      <c r="E432">
        <v>94.444444444444443</v>
      </c>
      <c r="F432" t="b">
        <v>1</v>
      </c>
      <c r="G432">
        <v>100</v>
      </c>
      <c r="H432">
        <v>93.6</v>
      </c>
      <c r="I432">
        <v>100</v>
      </c>
      <c r="J432">
        <v>100</v>
      </c>
      <c r="K432">
        <v>98.4</v>
      </c>
      <c r="L432" t="s">
        <v>49</v>
      </c>
      <c r="M432">
        <v>5</v>
      </c>
      <c r="N432" t="s">
        <v>55</v>
      </c>
      <c r="O432">
        <v>20</v>
      </c>
      <c r="P432">
        <v>9</v>
      </c>
      <c r="Q432">
        <v>58</v>
      </c>
      <c r="R432" t="s">
        <v>30</v>
      </c>
      <c r="S432">
        <v>4</v>
      </c>
      <c r="T432" t="s">
        <v>58</v>
      </c>
      <c r="U432" t="s">
        <v>56</v>
      </c>
      <c r="V432">
        <v>0</v>
      </c>
      <c r="W432">
        <v>0</v>
      </c>
      <c r="X432">
        <v>0</v>
      </c>
      <c r="Y432">
        <v>9</v>
      </c>
      <c r="Z432" t="s">
        <v>37</v>
      </c>
    </row>
    <row r="433" spans="1:26" x14ac:dyDescent="0.3">
      <c r="A433" t="s">
        <v>147</v>
      </c>
      <c r="B433" t="s">
        <v>42</v>
      </c>
      <c r="C433">
        <v>40</v>
      </c>
      <c r="D433">
        <v>34</v>
      </c>
      <c r="E433">
        <v>82.5</v>
      </c>
      <c r="F433" t="b">
        <v>1</v>
      </c>
      <c r="G433">
        <v>92.1</v>
      </c>
      <c r="H433">
        <v>87.4</v>
      </c>
      <c r="I433">
        <v>81.900000000000006</v>
      </c>
      <c r="J433">
        <v>87.8</v>
      </c>
      <c r="K433">
        <v>87.3</v>
      </c>
      <c r="L433" t="s">
        <v>49</v>
      </c>
      <c r="M433">
        <v>5</v>
      </c>
      <c r="N433" t="s">
        <v>55</v>
      </c>
      <c r="O433">
        <v>20</v>
      </c>
      <c r="P433">
        <v>14</v>
      </c>
      <c r="Q433">
        <v>68</v>
      </c>
      <c r="R433" t="s">
        <v>43</v>
      </c>
      <c r="S433">
        <v>3</v>
      </c>
      <c r="T433" t="s">
        <v>44</v>
      </c>
      <c r="U433" t="s">
        <v>56</v>
      </c>
      <c r="V433">
        <v>0</v>
      </c>
      <c r="W433">
        <v>0</v>
      </c>
      <c r="X433">
        <v>0</v>
      </c>
      <c r="Y433">
        <v>14</v>
      </c>
      <c r="Z433" t="s">
        <v>37</v>
      </c>
    </row>
    <row r="434" spans="1:26" x14ac:dyDescent="0.3">
      <c r="A434" t="s">
        <v>148</v>
      </c>
      <c r="B434" t="s">
        <v>27</v>
      </c>
      <c r="C434">
        <v>35</v>
      </c>
      <c r="D434">
        <v>33</v>
      </c>
      <c r="E434">
        <v>42.857142857142847</v>
      </c>
      <c r="F434" t="b">
        <v>1</v>
      </c>
      <c r="G434">
        <v>61.8</v>
      </c>
      <c r="H434">
        <v>88.3</v>
      </c>
      <c r="I434">
        <v>82.6</v>
      </c>
      <c r="J434">
        <v>88.6</v>
      </c>
      <c r="K434">
        <v>80.324999999999989</v>
      </c>
      <c r="L434" t="s">
        <v>61</v>
      </c>
      <c r="M434">
        <v>5</v>
      </c>
      <c r="N434" t="s">
        <v>50</v>
      </c>
      <c r="O434">
        <v>14</v>
      </c>
      <c r="P434">
        <v>11</v>
      </c>
      <c r="Q434">
        <v>31</v>
      </c>
      <c r="R434" t="s">
        <v>30</v>
      </c>
      <c r="S434">
        <v>4</v>
      </c>
      <c r="T434" t="s">
        <v>31</v>
      </c>
      <c r="U434" t="s">
        <v>56</v>
      </c>
      <c r="V434">
        <v>1</v>
      </c>
      <c r="W434">
        <v>0</v>
      </c>
      <c r="X434">
        <v>0</v>
      </c>
      <c r="Y434">
        <v>11</v>
      </c>
      <c r="Z434" t="s">
        <v>37</v>
      </c>
    </row>
    <row r="435" spans="1:26" x14ac:dyDescent="0.3">
      <c r="A435" t="s">
        <v>148</v>
      </c>
      <c r="B435" t="s">
        <v>34</v>
      </c>
      <c r="C435">
        <v>30</v>
      </c>
      <c r="D435">
        <v>15</v>
      </c>
      <c r="E435">
        <v>60</v>
      </c>
      <c r="F435" t="b">
        <v>1</v>
      </c>
      <c r="G435">
        <v>67.900000000000006</v>
      </c>
      <c r="H435">
        <v>67.3</v>
      </c>
      <c r="I435">
        <v>48.8</v>
      </c>
      <c r="J435">
        <v>70.400000000000006</v>
      </c>
      <c r="K435">
        <v>63.6</v>
      </c>
      <c r="L435" t="s">
        <v>61</v>
      </c>
      <c r="M435">
        <v>5</v>
      </c>
      <c r="N435" t="s">
        <v>50</v>
      </c>
      <c r="O435">
        <v>19</v>
      </c>
      <c r="P435">
        <v>9</v>
      </c>
      <c r="Q435">
        <v>41</v>
      </c>
      <c r="R435" t="s">
        <v>35</v>
      </c>
      <c r="S435">
        <v>2</v>
      </c>
      <c r="T435" t="s">
        <v>31</v>
      </c>
      <c r="U435" t="s">
        <v>36</v>
      </c>
      <c r="V435">
        <v>1</v>
      </c>
      <c r="W435">
        <v>0</v>
      </c>
      <c r="X435">
        <v>0</v>
      </c>
      <c r="Y435">
        <v>9</v>
      </c>
      <c r="Z435" t="s">
        <v>37</v>
      </c>
    </row>
    <row r="436" spans="1:26" x14ac:dyDescent="0.3">
      <c r="A436" t="s">
        <v>148</v>
      </c>
      <c r="B436" t="s">
        <v>38</v>
      </c>
      <c r="C436">
        <v>24</v>
      </c>
      <c r="D436">
        <v>18</v>
      </c>
      <c r="E436">
        <v>79.166666666666657</v>
      </c>
      <c r="F436" t="b">
        <v>1</v>
      </c>
      <c r="G436">
        <v>50.6</v>
      </c>
      <c r="H436">
        <v>54.7</v>
      </c>
      <c r="I436">
        <v>56</v>
      </c>
      <c r="J436">
        <v>68</v>
      </c>
      <c r="K436">
        <v>57.325000000000003</v>
      </c>
      <c r="L436" t="s">
        <v>61</v>
      </c>
      <c r="M436">
        <v>5</v>
      </c>
      <c r="N436" t="s">
        <v>50</v>
      </c>
      <c r="O436">
        <v>25</v>
      </c>
      <c r="P436">
        <v>8</v>
      </c>
      <c r="Q436">
        <v>70</v>
      </c>
      <c r="R436" t="s">
        <v>30</v>
      </c>
      <c r="S436">
        <v>3</v>
      </c>
      <c r="T436" t="s">
        <v>39</v>
      </c>
      <c r="U436" t="s">
        <v>32</v>
      </c>
      <c r="V436">
        <v>0</v>
      </c>
      <c r="W436">
        <v>0</v>
      </c>
      <c r="X436">
        <v>0</v>
      </c>
      <c r="Y436">
        <v>8</v>
      </c>
      <c r="Z436" t="s">
        <v>37</v>
      </c>
    </row>
    <row r="437" spans="1:26" x14ac:dyDescent="0.3">
      <c r="A437" t="s">
        <v>148</v>
      </c>
      <c r="B437" t="s">
        <v>57</v>
      </c>
      <c r="C437">
        <v>24</v>
      </c>
      <c r="D437">
        <v>19</v>
      </c>
      <c r="E437">
        <v>62.5</v>
      </c>
      <c r="F437" t="b">
        <v>1</v>
      </c>
      <c r="G437">
        <v>58.7</v>
      </c>
      <c r="H437">
        <v>76.099999999999994</v>
      </c>
      <c r="I437">
        <v>79.900000000000006</v>
      </c>
      <c r="J437">
        <v>70.7</v>
      </c>
      <c r="K437">
        <v>71.350000000000009</v>
      </c>
      <c r="L437" t="s">
        <v>61</v>
      </c>
      <c r="M437">
        <v>5</v>
      </c>
      <c r="N437" t="s">
        <v>50</v>
      </c>
      <c r="O437">
        <v>22</v>
      </c>
      <c r="P437">
        <v>9</v>
      </c>
      <c r="Q437">
        <v>52</v>
      </c>
      <c r="R437" t="s">
        <v>30</v>
      </c>
      <c r="S437">
        <v>4</v>
      </c>
      <c r="T437" t="s">
        <v>58</v>
      </c>
      <c r="U437" t="s">
        <v>36</v>
      </c>
      <c r="V437">
        <v>1</v>
      </c>
      <c r="W437">
        <v>0</v>
      </c>
      <c r="X437">
        <v>0</v>
      </c>
      <c r="Y437">
        <v>9</v>
      </c>
      <c r="Z437" t="s">
        <v>37</v>
      </c>
    </row>
    <row r="438" spans="1:26" x14ac:dyDescent="0.3">
      <c r="A438" t="s">
        <v>148</v>
      </c>
      <c r="B438" t="s">
        <v>42</v>
      </c>
      <c r="C438">
        <v>32</v>
      </c>
      <c r="D438">
        <v>15</v>
      </c>
      <c r="E438">
        <v>40.625</v>
      </c>
      <c r="F438" t="b">
        <v>1</v>
      </c>
      <c r="G438">
        <v>100</v>
      </c>
      <c r="H438">
        <v>81</v>
      </c>
      <c r="I438">
        <v>43.5</v>
      </c>
      <c r="J438">
        <v>87.7</v>
      </c>
      <c r="K438">
        <v>78.05</v>
      </c>
      <c r="L438" t="s">
        <v>61</v>
      </c>
      <c r="M438">
        <v>5</v>
      </c>
      <c r="N438" t="s">
        <v>50</v>
      </c>
      <c r="P438">
        <v>8</v>
      </c>
      <c r="R438" t="s">
        <v>43</v>
      </c>
      <c r="S438">
        <v>3</v>
      </c>
      <c r="T438" t="s">
        <v>44</v>
      </c>
      <c r="U438" t="s">
        <v>56</v>
      </c>
      <c r="V438">
        <v>1</v>
      </c>
      <c r="W438">
        <v>1</v>
      </c>
      <c r="X438">
        <v>0</v>
      </c>
      <c r="Y438">
        <v>8</v>
      </c>
      <c r="Z438" t="s">
        <v>37</v>
      </c>
    </row>
    <row r="439" spans="1:26" x14ac:dyDescent="0.3">
      <c r="A439" t="s">
        <v>149</v>
      </c>
      <c r="B439" t="s">
        <v>51</v>
      </c>
      <c r="C439">
        <v>25</v>
      </c>
      <c r="D439">
        <v>13</v>
      </c>
      <c r="E439">
        <v>28</v>
      </c>
      <c r="F439" t="b">
        <v>1</v>
      </c>
      <c r="G439">
        <v>59</v>
      </c>
      <c r="H439">
        <v>74.3</v>
      </c>
      <c r="I439">
        <v>32.6</v>
      </c>
      <c r="J439">
        <v>78.5</v>
      </c>
      <c r="K439">
        <v>61.1</v>
      </c>
      <c r="L439" t="s">
        <v>28</v>
      </c>
      <c r="M439">
        <v>5</v>
      </c>
      <c r="N439" t="s">
        <v>55</v>
      </c>
      <c r="O439">
        <v>19</v>
      </c>
      <c r="P439">
        <v>11</v>
      </c>
      <c r="Q439">
        <v>54</v>
      </c>
      <c r="R439" t="s">
        <v>30</v>
      </c>
      <c r="S439">
        <v>3</v>
      </c>
      <c r="T439" t="s">
        <v>52</v>
      </c>
      <c r="U439" t="s">
        <v>36</v>
      </c>
      <c r="V439">
        <v>1</v>
      </c>
      <c r="W439">
        <v>0</v>
      </c>
      <c r="X439">
        <v>0</v>
      </c>
      <c r="Y439">
        <v>11</v>
      </c>
      <c r="Z439" t="s">
        <v>37</v>
      </c>
    </row>
    <row r="440" spans="1:26" x14ac:dyDescent="0.3">
      <c r="A440" t="s">
        <v>149</v>
      </c>
      <c r="B440" t="s">
        <v>38</v>
      </c>
      <c r="C440">
        <v>39</v>
      </c>
      <c r="D440">
        <v>7</v>
      </c>
      <c r="E440">
        <v>74.358974358974365</v>
      </c>
      <c r="F440" t="b">
        <v>1</v>
      </c>
      <c r="G440">
        <v>62.8</v>
      </c>
      <c r="H440">
        <v>51.6</v>
      </c>
      <c r="I440">
        <v>29.2</v>
      </c>
      <c r="J440">
        <v>51.2</v>
      </c>
      <c r="K440">
        <v>48.7</v>
      </c>
      <c r="L440" t="s">
        <v>28</v>
      </c>
      <c r="M440">
        <v>5</v>
      </c>
      <c r="N440" t="s">
        <v>55</v>
      </c>
      <c r="O440">
        <v>18</v>
      </c>
      <c r="P440">
        <v>7</v>
      </c>
      <c r="Q440">
        <v>56</v>
      </c>
      <c r="R440" t="s">
        <v>30</v>
      </c>
      <c r="S440">
        <v>3</v>
      </c>
      <c r="T440" t="s">
        <v>39</v>
      </c>
      <c r="U440" t="s">
        <v>32</v>
      </c>
      <c r="V440">
        <v>1</v>
      </c>
      <c r="W440">
        <v>0</v>
      </c>
      <c r="X440">
        <v>0</v>
      </c>
      <c r="Y440">
        <v>7</v>
      </c>
      <c r="Z440" t="s">
        <v>33</v>
      </c>
    </row>
    <row r="441" spans="1:26" x14ac:dyDescent="0.3">
      <c r="A441" t="s">
        <v>149</v>
      </c>
      <c r="B441" t="s">
        <v>57</v>
      </c>
      <c r="C441">
        <v>31</v>
      </c>
      <c r="D441">
        <v>29</v>
      </c>
      <c r="E441">
        <v>54.838709677419352</v>
      </c>
      <c r="F441" t="b">
        <v>1</v>
      </c>
      <c r="G441">
        <v>50.9</v>
      </c>
      <c r="H441">
        <v>50.1</v>
      </c>
      <c r="I441">
        <v>67.3</v>
      </c>
      <c r="J441">
        <v>57</v>
      </c>
      <c r="K441">
        <v>56.325000000000003</v>
      </c>
      <c r="L441" t="s">
        <v>28</v>
      </c>
      <c r="M441">
        <v>5</v>
      </c>
      <c r="N441" t="s">
        <v>55</v>
      </c>
      <c r="O441">
        <v>22</v>
      </c>
      <c r="P441">
        <v>8</v>
      </c>
      <c r="Q441">
        <v>50</v>
      </c>
      <c r="R441" t="s">
        <v>30</v>
      </c>
      <c r="S441">
        <v>4</v>
      </c>
      <c r="T441" t="s">
        <v>58</v>
      </c>
      <c r="U441" t="s">
        <v>32</v>
      </c>
      <c r="V441">
        <v>1</v>
      </c>
      <c r="W441">
        <v>0</v>
      </c>
      <c r="X441">
        <v>0</v>
      </c>
      <c r="Y441">
        <v>8</v>
      </c>
      <c r="Z441" t="s">
        <v>33</v>
      </c>
    </row>
    <row r="442" spans="1:26" x14ac:dyDescent="0.3">
      <c r="A442" t="s">
        <v>149</v>
      </c>
      <c r="B442" t="s">
        <v>42</v>
      </c>
      <c r="C442">
        <v>34</v>
      </c>
      <c r="D442">
        <v>17</v>
      </c>
      <c r="E442">
        <v>41.17647058823529</v>
      </c>
      <c r="F442" t="b">
        <v>1</v>
      </c>
      <c r="G442">
        <v>54</v>
      </c>
      <c r="H442">
        <v>71.8</v>
      </c>
      <c r="I442">
        <v>72.7</v>
      </c>
      <c r="J442">
        <v>59.3</v>
      </c>
      <c r="K442">
        <v>64.45</v>
      </c>
      <c r="L442" t="s">
        <v>28</v>
      </c>
      <c r="M442">
        <v>5</v>
      </c>
      <c r="N442" t="s">
        <v>55</v>
      </c>
      <c r="O442">
        <v>8</v>
      </c>
      <c r="P442">
        <v>12</v>
      </c>
      <c r="Q442">
        <v>38</v>
      </c>
      <c r="R442" t="s">
        <v>43</v>
      </c>
      <c r="S442">
        <v>3</v>
      </c>
      <c r="T442" t="s">
        <v>44</v>
      </c>
      <c r="U442" t="s">
        <v>36</v>
      </c>
      <c r="V442">
        <v>1</v>
      </c>
      <c r="W442">
        <v>0</v>
      </c>
      <c r="X442">
        <v>0</v>
      </c>
      <c r="Y442">
        <v>12</v>
      </c>
      <c r="Z442" t="s">
        <v>37</v>
      </c>
    </row>
    <row r="443" spans="1:26" x14ac:dyDescent="0.3">
      <c r="A443" t="s">
        <v>150</v>
      </c>
      <c r="B443" t="s">
        <v>27</v>
      </c>
      <c r="C443">
        <v>36</v>
      </c>
      <c r="D443">
        <v>14</v>
      </c>
      <c r="E443">
        <v>44.444444444444443</v>
      </c>
      <c r="F443" t="b">
        <v>1</v>
      </c>
      <c r="G443">
        <v>58.7</v>
      </c>
      <c r="H443">
        <v>42.4</v>
      </c>
      <c r="I443">
        <v>39</v>
      </c>
      <c r="J443">
        <v>29.2</v>
      </c>
      <c r="K443">
        <v>42.325000000000003</v>
      </c>
      <c r="L443" t="s">
        <v>49</v>
      </c>
      <c r="M443">
        <v>3</v>
      </c>
      <c r="N443" t="s">
        <v>50</v>
      </c>
      <c r="O443">
        <v>15</v>
      </c>
      <c r="P443">
        <v>8</v>
      </c>
      <c r="Q443">
        <v>45</v>
      </c>
      <c r="R443" t="s">
        <v>30</v>
      </c>
      <c r="S443">
        <v>4</v>
      </c>
      <c r="T443" t="s">
        <v>31</v>
      </c>
      <c r="U443" t="s">
        <v>32</v>
      </c>
      <c r="V443">
        <v>1</v>
      </c>
      <c r="W443">
        <v>0</v>
      </c>
      <c r="X443">
        <v>0</v>
      </c>
      <c r="Y443">
        <v>8</v>
      </c>
      <c r="Z443" t="s">
        <v>33</v>
      </c>
    </row>
    <row r="444" spans="1:26" x14ac:dyDescent="0.3">
      <c r="A444" t="s">
        <v>150</v>
      </c>
      <c r="B444" t="s">
        <v>51</v>
      </c>
      <c r="C444">
        <v>38</v>
      </c>
      <c r="D444">
        <v>16</v>
      </c>
      <c r="E444">
        <v>65.789473684210535</v>
      </c>
      <c r="F444" t="b">
        <v>1</v>
      </c>
      <c r="G444">
        <v>45.4</v>
      </c>
      <c r="H444">
        <v>59.5</v>
      </c>
      <c r="I444">
        <v>31.4</v>
      </c>
      <c r="J444">
        <v>50.9</v>
      </c>
      <c r="K444">
        <v>46.8</v>
      </c>
      <c r="L444" t="s">
        <v>49</v>
      </c>
      <c r="M444">
        <v>3</v>
      </c>
      <c r="N444" t="s">
        <v>50</v>
      </c>
      <c r="O444">
        <v>16</v>
      </c>
      <c r="P444">
        <v>7</v>
      </c>
      <c r="Q444">
        <v>45</v>
      </c>
      <c r="R444" t="s">
        <v>30</v>
      </c>
      <c r="S444">
        <v>3</v>
      </c>
      <c r="T444" t="s">
        <v>52</v>
      </c>
      <c r="U444" t="s">
        <v>32</v>
      </c>
      <c r="V444">
        <v>1</v>
      </c>
      <c r="W444">
        <v>0</v>
      </c>
      <c r="X444">
        <v>0</v>
      </c>
      <c r="Y444">
        <v>7</v>
      </c>
      <c r="Z444" t="s">
        <v>33</v>
      </c>
    </row>
    <row r="445" spans="1:26" x14ac:dyDescent="0.3">
      <c r="A445" t="s">
        <v>150</v>
      </c>
      <c r="B445" t="s">
        <v>34</v>
      </c>
      <c r="C445">
        <v>34</v>
      </c>
      <c r="D445">
        <v>25</v>
      </c>
      <c r="E445">
        <v>55.882352941176471</v>
      </c>
      <c r="F445" t="b">
        <v>1</v>
      </c>
      <c r="G445">
        <v>29.1</v>
      </c>
      <c r="H445">
        <v>54.7</v>
      </c>
      <c r="I445">
        <v>26</v>
      </c>
      <c r="J445">
        <v>46.7</v>
      </c>
      <c r="K445">
        <v>39.125</v>
      </c>
      <c r="L445" t="s">
        <v>49</v>
      </c>
      <c r="M445">
        <v>3</v>
      </c>
      <c r="N445" t="s">
        <v>50</v>
      </c>
      <c r="O445">
        <v>14</v>
      </c>
      <c r="P445">
        <v>8</v>
      </c>
      <c r="Q445">
        <v>26</v>
      </c>
      <c r="R445" t="s">
        <v>35</v>
      </c>
      <c r="S445">
        <v>2</v>
      </c>
      <c r="T445" t="s">
        <v>31</v>
      </c>
      <c r="U445" t="s">
        <v>68</v>
      </c>
      <c r="V445">
        <v>1</v>
      </c>
      <c r="W445">
        <v>0</v>
      </c>
      <c r="X445">
        <v>0</v>
      </c>
      <c r="Y445">
        <v>8</v>
      </c>
      <c r="Z445" t="s">
        <v>33</v>
      </c>
    </row>
    <row r="446" spans="1:26" x14ac:dyDescent="0.3">
      <c r="A446" t="s">
        <v>150</v>
      </c>
      <c r="B446" t="s">
        <v>42</v>
      </c>
      <c r="C446">
        <v>36</v>
      </c>
      <c r="D446">
        <v>19</v>
      </c>
      <c r="E446">
        <v>44.444444444444443</v>
      </c>
      <c r="F446" t="b">
        <v>1</v>
      </c>
      <c r="G446">
        <v>41.9</v>
      </c>
      <c r="H446">
        <v>52.1</v>
      </c>
      <c r="I446">
        <v>72.400000000000006</v>
      </c>
      <c r="J446">
        <v>52.1</v>
      </c>
      <c r="K446">
        <v>54.625</v>
      </c>
      <c r="L446" t="s">
        <v>49</v>
      </c>
      <c r="M446">
        <v>3</v>
      </c>
      <c r="N446" t="s">
        <v>50</v>
      </c>
      <c r="O446">
        <v>21</v>
      </c>
      <c r="P446">
        <v>8</v>
      </c>
      <c r="Q446">
        <v>62</v>
      </c>
      <c r="R446" t="s">
        <v>43</v>
      </c>
      <c r="S446">
        <v>3</v>
      </c>
      <c r="T446" t="s">
        <v>44</v>
      </c>
      <c r="U446" t="s">
        <v>32</v>
      </c>
      <c r="V446">
        <v>1</v>
      </c>
      <c r="W446">
        <v>0</v>
      </c>
      <c r="X446">
        <v>0</v>
      </c>
      <c r="Y446">
        <v>8</v>
      </c>
      <c r="Z446" t="s">
        <v>33</v>
      </c>
    </row>
    <row r="447" spans="1:26" x14ac:dyDescent="0.3">
      <c r="A447" t="s">
        <v>150</v>
      </c>
      <c r="B447" t="s">
        <v>45</v>
      </c>
      <c r="C447">
        <v>34</v>
      </c>
      <c r="D447">
        <v>16</v>
      </c>
      <c r="E447">
        <v>55.882352941176471</v>
      </c>
      <c r="F447" t="b">
        <v>1</v>
      </c>
      <c r="G447">
        <v>37.5</v>
      </c>
      <c r="H447">
        <v>40.9</v>
      </c>
      <c r="I447">
        <v>34.799999999999997</v>
      </c>
      <c r="J447">
        <v>53.6</v>
      </c>
      <c r="K447">
        <v>41.7</v>
      </c>
      <c r="L447" t="s">
        <v>49</v>
      </c>
      <c r="M447">
        <v>3</v>
      </c>
      <c r="N447" t="s">
        <v>50</v>
      </c>
      <c r="O447">
        <v>14</v>
      </c>
      <c r="P447">
        <v>9</v>
      </c>
      <c r="Q447">
        <v>57</v>
      </c>
      <c r="R447" t="s">
        <v>46</v>
      </c>
      <c r="S447">
        <v>4</v>
      </c>
      <c r="T447" t="s">
        <v>47</v>
      </c>
      <c r="U447" t="s">
        <v>32</v>
      </c>
      <c r="V447">
        <v>1</v>
      </c>
      <c r="W447">
        <v>0</v>
      </c>
      <c r="X447">
        <v>0</v>
      </c>
      <c r="Y447">
        <v>9</v>
      </c>
      <c r="Z447" t="s">
        <v>33</v>
      </c>
    </row>
    <row r="448" spans="1:26" x14ac:dyDescent="0.3">
      <c r="A448" t="s">
        <v>151</v>
      </c>
      <c r="B448" t="s">
        <v>27</v>
      </c>
      <c r="C448">
        <v>25</v>
      </c>
      <c r="D448">
        <v>19</v>
      </c>
      <c r="E448">
        <v>88</v>
      </c>
      <c r="F448" t="b">
        <v>1</v>
      </c>
      <c r="G448">
        <v>82.6</v>
      </c>
      <c r="I448">
        <v>70.8</v>
      </c>
      <c r="J448">
        <v>99.2</v>
      </c>
      <c r="K448">
        <v>84.199999999999989</v>
      </c>
      <c r="L448" t="s">
        <v>61</v>
      </c>
      <c r="M448">
        <v>6</v>
      </c>
      <c r="N448" t="s">
        <v>29</v>
      </c>
      <c r="O448">
        <v>19</v>
      </c>
      <c r="P448">
        <v>9</v>
      </c>
      <c r="Q448">
        <v>60</v>
      </c>
      <c r="R448" t="s">
        <v>30</v>
      </c>
      <c r="S448">
        <v>4</v>
      </c>
      <c r="T448" t="s">
        <v>31</v>
      </c>
      <c r="U448" t="s">
        <v>56</v>
      </c>
      <c r="V448">
        <v>0</v>
      </c>
      <c r="W448">
        <v>0</v>
      </c>
      <c r="X448">
        <v>1</v>
      </c>
      <c r="Y448">
        <v>9</v>
      </c>
      <c r="Z448" t="s">
        <v>37</v>
      </c>
    </row>
    <row r="449" spans="1:26" x14ac:dyDescent="0.3">
      <c r="A449" t="s">
        <v>151</v>
      </c>
      <c r="B449" t="s">
        <v>57</v>
      </c>
      <c r="C449">
        <v>30</v>
      </c>
      <c r="D449">
        <v>22</v>
      </c>
      <c r="E449">
        <v>70</v>
      </c>
      <c r="F449" t="b">
        <v>1</v>
      </c>
      <c r="G449">
        <v>67.900000000000006</v>
      </c>
      <c r="H449">
        <v>76</v>
      </c>
      <c r="I449">
        <v>62.7</v>
      </c>
      <c r="J449">
        <v>92.2</v>
      </c>
      <c r="K449">
        <v>74.7</v>
      </c>
      <c r="L449" t="s">
        <v>61</v>
      </c>
      <c r="M449">
        <v>6</v>
      </c>
      <c r="N449" t="s">
        <v>29</v>
      </c>
      <c r="O449">
        <v>22</v>
      </c>
      <c r="P449">
        <v>12</v>
      </c>
      <c r="Q449">
        <v>62</v>
      </c>
      <c r="R449" t="s">
        <v>30</v>
      </c>
      <c r="S449">
        <v>4</v>
      </c>
      <c r="T449" t="s">
        <v>58</v>
      </c>
      <c r="U449" t="s">
        <v>36</v>
      </c>
      <c r="V449">
        <v>1</v>
      </c>
      <c r="W449">
        <v>0</v>
      </c>
      <c r="X449">
        <v>0</v>
      </c>
      <c r="Y449">
        <v>12</v>
      </c>
      <c r="Z449" t="s">
        <v>37</v>
      </c>
    </row>
    <row r="450" spans="1:26" x14ac:dyDescent="0.3">
      <c r="A450" t="s">
        <v>151</v>
      </c>
      <c r="B450" t="s">
        <v>42</v>
      </c>
      <c r="C450">
        <v>29</v>
      </c>
      <c r="D450">
        <v>21</v>
      </c>
      <c r="E450">
        <v>65.517241379310349</v>
      </c>
      <c r="F450" t="b">
        <v>1</v>
      </c>
      <c r="G450">
        <v>88.6</v>
      </c>
      <c r="H450">
        <v>100</v>
      </c>
      <c r="I450">
        <v>85.2</v>
      </c>
      <c r="J450">
        <v>93.3</v>
      </c>
      <c r="K450">
        <v>91.775000000000006</v>
      </c>
      <c r="L450" t="s">
        <v>61</v>
      </c>
      <c r="M450">
        <v>6</v>
      </c>
      <c r="N450" t="s">
        <v>29</v>
      </c>
      <c r="O450">
        <v>18</v>
      </c>
      <c r="P450">
        <v>8</v>
      </c>
      <c r="Q450">
        <v>58</v>
      </c>
      <c r="R450" t="s">
        <v>43</v>
      </c>
      <c r="S450">
        <v>3</v>
      </c>
      <c r="T450" t="s">
        <v>44</v>
      </c>
      <c r="U450" t="s">
        <v>56</v>
      </c>
      <c r="V450">
        <v>1</v>
      </c>
      <c r="W450">
        <v>0</v>
      </c>
      <c r="X450">
        <v>0</v>
      </c>
      <c r="Y450">
        <v>8</v>
      </c>
      <c r="Z450" t="s">
        <v>37</v>
      </c>
    </row>
    <row r="451" spans="1:26" x14ac:dyDescent="0.3">
      <c r="A451" t="s">
        <v>151</v>
      </c>
      <c r="B451" t="s">
        <v>45</v>
      </c>
      <c r="C451">
        <v>30</v>
      </c>
      <c r="D451">
        <v>19</v>
      </c>
      <c r="E451">
        <v>56.666666666666657</v>
      </c>
      <c r="F451" t="b">
        <v>1</v>
      </c>
      <c r="G451">
        <v>79.2</v>
      </c>
      <c r="H451">
        <v>70.400000000000006</v>
      </c>
      <c r="I451">
        <v>69.5</v>
      </c>
      <c r="J451">
        <v>83.1</v>
      </c>
      <c r="K451">
        <v>75.550000000000011</v>
      </c>
      <c r="L451" t="s">
        <v>61</v>
      </c>
      <c r="M451">
        <v>6</v>
      </c>
      <c r="N451" t="s">
        <v>29</v>
      </c>
      <c r="O451">
        <v>20</v>
      </c>
      <c r="P451">
        <v>10</v>
      </c>
      <c r="Q451">
        <v>51</v>
      </c>
      <c r="R451" t="s">
        <v>46</v>
      </c>
      <c r="S451">
        <v>4</v>
      </c>
      <c r="T451" t="s">
        <v>47</v>
      </c>
      <c r="U451" t="s">
        <v>56</v>
      </c>
      <c r="V451">
        <v>1</v>
      </c>
      <c r="W451">
        <v>0</v>
      </c>
      <c r="X451">
        <v>0</v>
      </c>
      <c r="Y451">
        <v>10</v>
      </c>
      <c r="Z451" t="s">
        <v>37</v>
      </c>
    </row>
    <row r="452" spans="1:26" x14ac:dyDescent="0.3">
      <c r="A452" t="s">
        <v>152</v>
      </c>
      <c r="B452" t="s">
        <v>34</v>
      </c>
      <c r="C452">
        <v>40</v>
      </c>
      <c r="D452">
        <v>17</v>
      </c>
      <c r="E452">
        <v>52.5</v>
      </c>
      <c r="F452" t="b">
        <v>1</v>
      </c>
      <c r="G452">
        <v>79.099999999999994</v>
      </c>
      <c r="H452">
        <v>100</v>
      </c>
      <c r="I452">
        <v>98.9</v>
      </c>
      <c r="J452">
        <v>72.7</v>
      </c>
      <c r="K452">
        <v>87.674999999999997</v>
      </c>
      <c r="L452" t="s">
        <v>61</v>
      </c>
      <c r="M452">
        <v>5</v>
      </c>
      <c r="N452" t="s">
        <v>55</v>
      </c>
      <c r="O452">
        <v>14</v>
      </c>
      <c r="P452">
        <v>8</v>
      </c>
      <c r="Q452">
        <v>44</v>
      </c>
      <c r="R452" t="s">
        <v>35</v>
      </c>
      <c r="S452">
        <v>2</v>
      </c>
      <c r="T452" t="s">
        <v>31</v>
      </c>
      <c r="U452" t="s">
        <v>56</v>
      </c>
      <c r="V452">
        <v>1</v>
      </c>
      <c r="W452">
        <v>0</v>
      </c>
      <c r="X452">
        <v>0</v>
      </c>
      <c r="Y452">
        <v>8</v>
      </c>
      <c r="Z452" t="s">
        <v>37</v>
      </c>
    </row>
    <row r="453" spans="1:26" x14ac:dyDescent="0.3">
      <c r="A453" t="s">
        <v>152</v>
      </c>
      <c r="B453" t="s">
        <v>57</v>
      </c>
      <c r="C453">
        <v>39</v>
      </c>
      <c r="D453">
        <v>21</v>
      </c>
      <c r="E453">
        <v>74.358974358974365</v>
      </c>
      <c r="F453" t="b">
        <v>1</v>
      </c>
      <c r="G453">
        <v>58.9</v>
      </c>
      <c r="H453">
        <v>76.7</v>
      </c>
      <c r="I453">
        <v>56</v>
      </c>
      <c r="J453">
        <v>54.7</v>
      </c>
      <c r="K453">
        <v>61.575000000000003</v>
      </c>
      <c r="L453" t="s">
        <v>61</v>
      </c>
      <c r="M453">
        <v>5</v>
      </c>
      <c r="N453" t="s">
        <v>55</v>
      </c>
      <c r="O453">
        <v>19</v>
      </c>
      <c r="P453">
        <v>6</v>
      </c>
      <c r="Q453">
        <v>69</v>
      </c>
      <c r="R453" t="s">
        <v>30</v>
      </c>
      <c r="S453">
        <v>4</v>
      </c>
      <c r="T453" t="s">
        <v>58</v>
      </c>
      <c r="U453" t="s">
        <v>36</v>
      </c>
      <c r="V453">
        <v>1</v>
      </c>
      <c r="W453">
        <v>0</v>
      </c>
      <c r="X453">
        <v>0</v>
      </c>
      <c r="Y453">
        <v>6</v>
      </c>
      <c r="Z453" t="s">
        <v>37</v>
      </c>
    </row>
    <row r="454" spans="1:26" x14ac:dyDescent="0.3">
      <c r="A454" t="s">
        <v>152</v>
      </c>
      <c r="B454" t="s">
        <v>42</v>
      </c>
      <c r="C454">
        <v>29</v>
      </c>
      <c r="D454">
        <v>29</v>
      </c>
      <c r="E454">
        <v>44.827586206896562</v>
      </c>
      <c r="F454" t="b">
        <v>1</v>
      </c>
      <c r="G454">
        <v>90.7</v>
      </c>
      <c r="H454">
        <v>69.099999999999994</v>
      </c>
      <c r="I454">
        <v>69.7</v>
      </c>
      <c r="J454">
        <v>66.900000000000006</v>
      </c>
      <c r="K454">
        <v>74.099999999999994</v>
      </c>
      <c r="L454" t="s">
        <v>61</v>
      </c>
      <c r="M454">
        <v>5</v>
      </c>
      <c r="N454" t="s">
        <v>55</v>
      </c>
      <c r="O454">
        <v>25</v>
      </c>
      <c r="P454">
        <v>9</v>
      </c>
      <c r="Q454">
        <v>65</v>
      </c>
      <c r="R454" t="s">
        <v>43</v>
      </c>
      <c r="S454">
        <v>3</v>
      </c>
      <c r="T454" t="s">
        <v>44</v>
      </c>
      <c r="U454" t="s">
        <v>36</v>
      </c>
      <c r="V454">
        <v>1</v>
      </c>
      <c r="W454">
        <v>0</v>
      </c>
      <c r="X454">
        <v>0</v>
      </c>
      <c r="Y454">
        <v>9</v>
      </c>
      <c r="Z454" t="s">
        <v>37</v>
      </c>
    </row>
    <row r="455" spans="1:26" x14ac:dyDescent="0.3">
      <c r="A455" t="s">
        <v>152</v>
      </c>
      <c r="B455" t="s">
        <v>45</v>
      </c>
      <c r="C455">
        <v>33</v>
      </c>
      <c r="D455">
        <v>13</v>
      </c>
      <c r="E455">
        <v>66.666666666666657</v>
      </c>
      <c r="F455" t="b">
        <v>1</v>
      </c>
      <c r="G455">
        <v>58.2</v>
      </c>
      <c r="H455">
        <v>52.7</v>
      </c>
      <c r="I455">
        <v>49.2</v>
      </c>
      <c r="J455">
        <v>82.7</v>
      </c>
      <c r="K455">
        <v>60.7</v>
      </c>
      <c r="L455" t="s">
        <v>61</v>
      </c>
      <c r="M455">
        <v>5</v>
      </c>
      <c r="N455" t="s">
        <v>55</v>
      </c>
      <c r="O455">
        <v>30</v>
      </c>
      <c r="P455">
        <v>11</v>
      </c>
      <c r="Q455">
        <v>73</v>
      </c>
      <c r="R455" t="s">
        <v>46</v>
      </c>
      <c r="S455">
        <v>4</v>
      </c>
      <c r="T455" t="s">
        <v>47</v>
      </c>
      <c r="U455" t="s">
        <v>36</v>
      </c>
      <c r="V455">
        <v>1</v>
      </c>
      <c r="W455">
        <v>0</v>
      </c>
      <c r="X455">
        <v>0</v>
      </c>
      <c r="Y455">
        <v>11</v>
      </c>
      <c r="Z455" t="s">
        <v>37</v>
      </c>
    </row>
    <row r="456" spans="1:26" x14ac:dyDescent="0.3">
      <c r="A456" t="s">
        <v>153</v>
      </c>
      <c r="B456" t="s">
        <v>27</v>
      </c>
      <c r="C456">
        <v>29</v>
      </c>
      <c r="D456">
        <v>22</v>
      </c>
      <c r="E456">
        <v>68.965517241379317</v>
      </c>
      <c r="F456" t="b">
        <v>1</v>
      </c>
      <c r="G456">
        <v>61.2</v>
      </c>
      <c r="H456">
        <v>73.099999999999994</v>
      </c>
      <c r="I456">
        <v>58.1</v>
      </c>
      <c r="J456">
        <v>79.3</v>
      </c>
      <c r="K456">
        <v>67.924999999999997</v>
      </c>
      <c r="L456" t="s">
        <v>28</v>
      </c>
      <c r="M456">
        <v>5</v>
      </c>
      <c r="N456" t="s">
        <v>50</v>
      </c>
      <c r="O456">
        <v>10</v>
      </c>
      <c r="P456">
        <v>8</v>
      </c>
      <c r="Q456">
        <v>56</v>
      </c>
      <c r="R456" t="s">
        <v>30</v>
      </c>
      <c r="S456">
        <v>4</v>
      </c>
      <c r="T456" t="s">
        <v>31</v>
      </c>
      <c r="U456" t="s">
        <v>36</v>
      </c>
      <c r="V456">
        <v>1</v>
      </c>
      <c r="W456">
        <v>0</v>
      </c>
      <c r="X456">
        <v>0</v>
      </c>
      <c r="Y456">
        <v>8</v>
      </c>
      <c r="Z456" t="s">
        <v>37</v>
      </c>
    </row>
    <row r="457" spans="1:26" x14ac:dyDescent="0.3">
      <c r="A457" t="s">
        <v>153</v>
      </c>
      <c r="B457" t="s">
        <v>38</v>
      </c>
      <c r="C457">
        <v>37</v>
      </c>
      <c r="D457">
        <v>20</v>
      </c>
      <c r="E457">
        <v>48.648648648648653</v>
      </c>
      <c r="F457" t="b">
        <v>1</v>
      </c>
      <c r="G457">
        <v>58.6</v>
      </c>
      <c r="H457">
        <v>68.7</v>
      </c>
      <c r="I457">
        <v>52.5</v>
      </c>
      <c r="J457">
        <v>59.8</v>
      </c>
      <c r="K457">
        <v>59.900000000000013</v>
      </c>
      <c r="L457" t="s">
        <v>28</v>
      </c>
      <c r="M457">
        <v>5</v>
      </c>
      <c r="N457" t="s">
        <v>50</v>
      </c>
      <c r="O457">
        <v>10</v>
      </c>
      <c r="P457">
        <v>5</v>
      </c>
      <c r="Q457">
        <v>36</v>
      </c>
      <c r="R457" t="s">
        <v>30</v>
      </c>
      <c r="S457">
        <v>3</v>
      </c>
      <c r="T457" t="s">
        <v>39</v>
      </c>
      <c r="U457" t="s">
        <v>32</v>
      </c>
      <c r="V457">
        <v>1</v>
      </c>
      <c r="W457">
        <v>0</v>
      </c>
      <c r="X457">
        <v>0</v>
      </c>
      <c r="Y457">
        <v>5</v>
      </c>
      <c r="Z457" t="s">
        <v>33</v>
      </c>
    </row>
    <row r="458" spans="1:26" x14ac:dyDescent="0.3">
      <c r="A458" t="s">
        <v>153</v>
      </c>
      <c r="B458" t="s">
        <v>40</v>
      </c>
      <c r="C458">
        <v>34</v>
      </c>
      <c r="D458">
        <v>18</v>
      </c>
      <c r="E458">
        <v>44.117647058823529</v>
      </c>
      <c r="F458" t="b">
        <v>1</v>
      </c>
      <c r="G458">
        <v>54.5</v>
      </c>
      <c r="H458">
        <v>50.9</v>
      </c>
      <c r="I458">
        <v>62.5</v>
      </c>
      <c r="J458">
        <v>72.900000000000006</v>
      </c>
      <c r="K458">
        <v>60.2</v>
      </c>
      <c r="L458" t="s">
        <v>28</v>
      </c>
      <c r="M458">
        <v>5</v>
      </c>
      <c r="N458" t="s">
        <v>50</v>
      </c>
      <c r="O458">
        <v>13</v>
      </c>
      <c r="P458">
        <v>8</v>
      </c>
      <c r="Q458">
        <v>48</v>
      </c>
      <c r="R458" t="s">
        <v>30</v>
      </c>
      <c r="S458">
        <v>3</v>
      </c>
      <c r="T458" t="s">
        <v>41</v>
      </c>
      <c r="U458" t="s">
        <v>36</v>
      </c>
      <c r="V458">
        <v>1</v>
      </c>
      <c r="W458">
        <v>0</v>
      </c>
      <c r="X458">
        <v>0</v>
      </c>
      <c r="Y458">
        <v>8</v>
      </c>
      <c r="Z458" t="s">
        <v>37</v>
      </c>
    </row>
    <row r="459" spans="1:26" x14ac:dyDescent="0.3">
      <c r="A459" t="s">
        <v>153</v>
      </c>
      <c r="B459" t="s">
        <v>57</v>
      </c>
      <c r="C459">
        <v>38</v>
      </c>
      <c r="D459">
        <v>15</v>
      </c>
      <c r="E459">
        <v>52.631578947368418</v>
      </c>
      <c r="F459" t="b">
        <v>1</v>
      </c>
      <c r="G459">
        <v>80.8</v>
      </c>
      <c r="I459">
        <v>81.2</v>
      </c>
      <c r="J459">
        <v>59.4</v>
      </c>
      <c r="K459">
        <v>73.8</v>
      </c>
      <c r="L459" t="s">
        <v>28</v>
      </c>
      <c r="M459">
        <v>5</v>
      </c>
      <c r="N459" t="s">
        <v>50</v>
      </c>
      <c r="O459">
        <v>23</v>
      </c>
      <c r="P459">
        <v>10</v>
      </c>
      <c r="Q459">
        <v>70</v>
      </c>
      <c r="R459" t="s">
        <v>30</v>
      </c>
      <c r="S459">
        <v>4</v>
      </c>
      <c r="T459" t="s">
        <v>58</v>
      </c>
      <c r="U459" t="s">
        <v>36</v>
      </c>
      <c r="V459">
        <v>1</v>
      </c>
      <c r="W459">
        <v>0</v>
      </c>
      <c r="X459">
        <v>1</v>
      </c>
      <c r="Y459">
        <v>10</v>
      </c>
      <c r="Z459" t="s">
        <v>37</v>
      </c>
    </row>
    <row r="460" spans="1:26" x14ac:dyDescent="0.3">
      <c r="A460" t="s">
        <v>153</v>
      </c>
      <c r="B460" t="s">
        <v>45</v>
      </c>
      <c r="C460">
        <v>31</v>
      </c>
      <c r="D460">
        <v>20</v>
      </c>
      <c r="E460">
        <v>61.29032258064516</v>
      </c>
      <c r="F460" t="b">
        <v>1</v>
      </c>
      <c r="G460">
        <v>52.2</v>
      </c>
      <c r="H460">
        <v>70.8</v>
      </c>
      <c r="I460">
        <v>69.900000000000006</v>
      </c>
      <c r="J460">
        <v>74.7</v>
      </c>
      <c r="K460">
        <v>66.900000000000006</v>
      </c>
      <c r="L460" t="s">
        <v>28</v>
      </c>
      <c r="M460">
        <v>5</v>
      </c>
      <c r="N460" t="s">
        <v>50</v>
      </c>
      <c r="O460">
        <v>20</v>
      </c>
      <c r="P460">
        <v>12</v>
      </c>
      <c r="Q460">
        <v>64</v>
      </c>
      <c r="R460" t="s">
        <v>46</v>
      </c>
      <c r="S460">
        <v>4</v>
      </c>
      <c r="T460" t="s">
        <v>47</v>
      </c>
      <c r="U460" t="s">
        <v>36</v>
      </c>
      <c r="V460">
        <v>1</v>
      </c>
      <c r="W460">
        <v>0</v>
      </c>
      <c r="X460">
        <v>0</v>
      </c>
      <c r="Y460">
        <v>12</v>
      </c>
      <c r="Z460" t="s">
        <v>37</v>
      </c>
    </row>
    <row r="461" spans="1:26" x14ac:dyDescent="0.3">
      <c r="A461" t="s">
        <v>154</v>
      </c>
      <c r="B461" t="s">
        <v>27</v>
      </c>
      <c r="C461">
        <v>24</v>
      </c>
      <c r="D461">
        <v>19</v>
      </c>
      <c r="E461">
        <v>66.666666666666657</v>
      </c>
      <c r="F461" t="b">
        <v>1</v>
      </c>
      <c r="G461">
        <v>67.3</v>
      </c>
      <c r="H461">
        <v>71.7</v>
      </c>
      <c r="I461">
        <v>45.6</v>
      </c>
      <c r="J461">
        <v>67.400000000000006</v>
      </c>
      <c r="K461">
        <v>63</v>
      </c>
      <c r="L461" t="s">
        <v>61</v>
      </c>
      <c r="M461">
        <v>3</v>
      </c>
      <c r="N461" t="s">
        <v>55</v>
      </c>
      <c r="O461">
        <v>10</v>
      </c>
      <c r="P461">
        <v>4</v>
      </c>
      <c r="Q461">
        <v>45</v>
      </c>
      <c r="R461" t="s">
        <v>30</v>
      </c>
      <c r="S461">
        <v>4</v>
      </c>
      <c r="T461" t="s">
        <v>31</v>
      </c>
      <c r="U461" t="s">
        <v>36</v>
      </c>
      <c r="V461">
        <v>1</v>
      </c>
      <c r="W461">
        <v>0</v>
      </c>
      <c r="X461">
        <v>0</v>
      </c>
      <c r="Y461">
        <v>4</v>
      </c>
      <c r="Z461" t="s">
        <v>37</v>
      </c>
    </row>
    <row r="462" spans="1:26" x14ac:dyDescent="0.3">
      <c r="A462" t="s">
        <v>154</v>
      </c>
      <c r="B462" t="s">
        <v>51</v>
      </c>
      <c r="C462">
        <v>37</v>
      </c>
      <c r="D462">
        <v>16</v>
      </c>
      <c r="E462">
        <v>51.351351351351347</v>
      </c>
      <c r="F462" t="b">
        <v>1</v>
      </c>
      <c r="G462">
        <v>74.5</v>
      </c>
      <c r="H462">
        <v>60</v>
      </c>
      <c r="I462">
        <v>67.5</v>
      </c>
      <c r="J462">
        <v>62.3</v>
      </c>
      <c r="K462">
        <v>66.075000000000003</v>
      </c>
      <c r="L462" t="s">
        <v>61</v>
      </c>
      <c r="M462">
        <v>3</v>
      </c>
      <c r="N462" t="s">
        <v>55</v>
      </c>
      <c r="O462">
        <v>7</v>
      </c>
      <c r="P462">
        <v>9</v>
      </c>
      <c r="Q462">
        <v>28</v>
      </c>
      <c r="R462" t="s">
        <v>30</v>
      </c>
      <c r="S462">
        <v>3</v>
      </c>
      <c r="T462" t="s">
        <v>52</v>
      </c>
      <c r="U462" t="s">
        <v>36</v>
      </c>
      <c r="V462">
        <v>1</v>
      </c>
      <c r="W462">
        <v>0</v>
      </c>
      <c r="X462">
        <v>0</v>
      </c>
      <c r="Y462">
        <v>9</v>
      </c>
      <c r="Z462" t="s">
        <v>37</v>
      </c>
    </row>
    <row r="463" spans="1:26" x14ac:dyDescent="0.3">
      <c r="A463" t="s">
        <v>154</v>
      </c>
      <c r="B463" t="s">
        <v>34</v>
      </c>
      <c r="C463">
        <v>40</v>
      </c>
      <c r="D463">
        <v>19</v>
      </c>
      <c r="E463">
        <v>57.499999999999993</v>
      </c>
      <c r="F463" t="b">
        <v>1</v>
      </c>
      <c r="G463">
        <v>84.5</v>
      </c>
      <c r="H463">
        <v>83.8</v>
      </c>
      <c r="I463">
        <v>73</v>
      </c>
      <c r="J463">
        <v>59.7</v>
      </c>
      <c r="K463">
        <v>75.25</v>
      </c>
      <c r="L463" t="s">
        <v>61</v>
      </c>
      <c r="M463">
        <v>3</v>
      </c>
      <c r="N463" t="s">
        <v>55</v>
      </c>
      <c r="O463">
        <v>19</v>
      </c>
      <c r="P463">
        <v>6</v>
      </c>
      <c r="Q463">
        <v>41</v>
      </c>
      <c r="R463" t="s">
        <v>35</v>
      </c>
      <c r="S463">
        <v>2</v>
      </c>
      <c r="T463" t="s">
        <v>31</v>
      </c>
      <c r="U463" t="s">
        <v>56</v>
      </c>
      <c r="V463">
        <v>1</v>
      </c>
      <c r="W463">
        <v>0</v>
      </c>
      <c r="X463">
        <v>0</v>
      </c>
      <c r="Y463">
        <v>6</v>
      </c>
      <c r="Z463" t="s">
        <v>37</v>
      </c>
    </row>
    <row r="464" spans="1:26" x14ac:dyDescent="0.3">
      <c r="A464" t="s">
        <v>154</v>
      </c>
      <c r="B464" t="s">
        <v>57</v>
      </c>
      <c r="C464">
        <v>31</v>
      </c>
      <c r="D464">
        <v>23</v>
      </c>
      <c r="E464">
        <v>51.612903225806448</v>
      </c>
      <c r="F464" t="b">
        <v>1</v>
      </c>
      <c r="G464">
        <v>70.7</v>
      </c>
      <c r="H464">
        <v>76.400000000000006</v>
      </c>
      <c r="I464">
        <v>60.8</v>
      </c>
      <c r="J464">
        <v>97</v>
      </c>
      <c r="K464">
        <v>76.225000000000009</v>
      </c>
      <c r="L464" t="s">
        <v>61</v>
      </c>
      <c r="M464">
        <v>3</v>
      </c>
      <c r="N464" t="s">
        <v>55</v>
      </c>
      <c r="O464">
        <v>21</v>
      </c>
      <c r="P464">
        <v>9</v>
      </c>
      <c r="Q464">
        <v>50</v>
      </c>
      <c r="R464" t="s">
        <v>30</v>
      </c>
      <c r="S464">
        <v>4</v>
      </c>
      <c r="T464" t="s">
        <v>58</v>
      </c>
      <c r="U464" t="s">
        <v>56</v>
      </c>
      <c r="V464">
        <v>1</v>
      </c>
      <c r="W464">
        <v>0</v>
      </c>
      <c r="X464">
        <v>0</v>
      </c>
      <c r="Y464">
        <v>9</v>
      </c>
      <c r="Z464" t="s">
        <v>37</v>
      </c>
    </row>
    <row r="465" spans="1:26" x14ac:dyDescent="0.3">
      <c r="A465" t="s">
        <v>154</v>
      </c>
      <c r="B465" t="s">
        <v>42</v>
      </c>
      <c r="C465">
        <v>26</v>
      </c>
      <c r="D465">
        <v>16</v>
      </c>
      <c r="E465">
        <v>84.615384615384613</v>
      </c>
      <c r="F465" t="b">
        <v>1</v>
      </c>
      <c r="G465">
        <v>53.8</v>
      </c>
      <c r="H465">
        <v>44.3</v>
      </c>
      <c r="I465">
        <v>59.9</v>
      </c>
      <c r="J465">
        <v>58.9</v>
      </c>
      <c r="K465">
        <v>54.225000000000001</v>
      </c>
      <c r="L465" t="s">
        <v>61</v>
      </c>
      <c r="M465">
        <v>3</v>
      </c>
      <c r="N465" t="s">
        <v>55</v>
      </c>
      <c r="O465">
        <v>21</v>
      </c>
      <c r="P465">
        <v>6</v>
      </c>
      <c r="Q465">
        <v>51</v>
      </c>
      <c r="R465" t="s">
        <v>43</v>
      </c>
      <c r="S465">
        <v>3</v>
      </c>
      <c r="T465" t="s">
        <v>44</v>
      </c>
      <c r="U465" t="s">
        <v>32</v>
      </c>
      <c r="V465">
        <v>0</v>
      </c>
      <c r="W465">
        <v>0</v>
      </c>
      <c r="X465">
        <v>0</v>
      </c>
      <c r="Y465">
        <v>6</v>
      </c>
      <c r="Z465" t="s">
        <v>37</v>
      </c>
    </row>
    <row r="466" spans="1:26" x14ac:dyDescent="0.3">
      <c r="A466" t="s">
        <v>155</v>
      </c>
      <c r="B466" t="s">
        <v>27</v>
      </c>
      <c r="C466">
        <v>30</v>
      </c>
      <c r="D466">
        <v>22</v>
      </c>
      <c r="E466">
        <v>70</v>
      </c>
      <c r="F466" t="b">
        <v>1</v>
      </c>
      <c r="G466">
        <v>75.5</v>
      </c>
      <c r="H466">
        <v>88.9</v>
      </c>
      <c r="I466">
        <v>91</v>
      </c>
      <c r="J466">
        <v>94.9</v>
      </c>
      <c r="K466">
        <v>87.575000000000003</v>
      </c>
      <c r="L466" t="s">
        <v>61</v>
      </c>
      <c r="M466">
        <v>3</v>
      </c>
      <c r="N466" t="s">
        <v>50</v>
      </c>
      <c r="O466">
        <v>15</v>
      </c>
      <c r="P466">
        <v>8</v>
      </c>
      <c r="Q466">
        <v>56</v>
      </c>
      <c r="R466" t="s">
        <v>30</v>
      </c>
      <c r="S466">
        <v>4</v>
      </c>
      <c r="T466" t="s">
        <v>31</v>
      </c>
      <c r="U466" t="s">
        <v>56</v>
      </c>
      <c r="V466">
        <v>1</v>
      </c>
      <c r="W466">
        <v>0</v>
      </c>
      <c r="X466">
        <v>0</v>
      </c>
      <c r="Y466">
        <v>8</v>
      </c>
      <c r="Z466" t="s">
        <v>37</v>
      </c>
    </row>
    <row r="467" spans="1:26" x14ac:dyDescent="0.3">
      <c r="A467" t="s">
        <v>155</v>
      </c>
      <c r="B467" t="s">
        <v>51</v>
      </c>
      <c r="C467">
        <v>34</v>
      </c>
      <c r="D467">
        <v>21</v>
      </c>
      <c r="E467">
        <v>64.705882352941174</v>
      </c>
      <c r="F467" t="b">
        <v>1</v>
      </c>
      <c r="G467">
        <v>89.8</v>
      </c>
      <c r="H467">
        <v>89.5</v>
      </c>
      <c r="I467">
        <v>93.5</v>
      </c>
      <c r="J467">
        <v>66.5</v>
      </c>
      <c r="K467">
        <v>84.825000000000003</v>
      </c>
      <c r="L467" t="s">
        <v>61</v>
      </c>
      <c r="M467">
        <v>3</v>
      </c>
      <c r="N467" t="s">
        <v>50</v>
      </c>
      <c r="O467">
        <v>20</v>
      </c>
      <c r="P467">
        <v>11</v>
      </c>
      <c r="Q467">
        <v>42</v>
      </c>
      <c r="R467" t="s">
        <v>30</v>
      </c>
      <c r="S467">
        <v>3</v>
      </c>
      <c r="T467" t="s">
        <v>52</v>
      </c>
      <c r="U467" t="s">
        <v>56</v>
      </c>
      <c r="V467">
        <v>1</v>
      </c>
      <c r="W467">
        <v>0</v>
      </c>
      <c r="X467">
        <v>0</v>
      </c>
      <c r="Y467">
        <v>11</v>
      </c>
      <c r="Z467" t="s">
        <v>37</v>
      </c>
    </row>
    <row r="468" spans="1:26" x14ac:dyDescent="0.3">
      <c r="A468" t="s">
        <v>155</v>
      </c>
      <c r="B468" t="s">
        <v>34</v>
      </c>
      <c r="C468">
        <v>26</v>
      </c>
      <c r="D468">
        <v>22</v>
      </c>
      <c r="E468">
        <v>88.461538461538453</v>
      </c>
      <c r="F468" t="b">
        <v>1</v>
      </c>
      <c r="G468">
        <v>87.7</v>
      </c>
      <c r="H468">
        <v>88</v>
      </c>
      <c r="I468">
        <v>100</v>
      </c>
      <c r="J468">
        <v>99.5</v>
      </c>
      <c r="K468">
        <v>93.8</v>
      </c>
      <c r="L468" t="s">
        <v>61</v>
      </c>
      <c r="M468">
        <v>3</v>
      </c>
      <c r="N468" t="s">
        <v>50</v>
      </c>
      <c r="O468">
        <v>15</v>
      </c>
      <c r="P468">
        <v>7</v>
      </c>
      <c r="Q468">
        <v>51</v>
      </c>
      <c r="R468" t="s">
        <v>35</v>
      </c>
      <c r="S468">
        <v>2</v>
      </c>
      <c r="T468" t="s">
        <v>31</v>
      </c>
      <c r="U468" t="s">
        <v>56</v>
      </c>
      <c r="V468">
        <v>0</v>
      </c>
      <c r="W468">
        <v>0</v>
      </c>
      <c r="X468">
        <v>0</v>
      </c>
      <c r="Y468">
        <v>7</v>
      </c>
      <c r="Z468" t="s">
        <v>37</v>
      </c>
    </row>
    <row r="469" spans="1:26" x14ac:dyDescent="0.3">
      <c r="A469" t="s">
        <v>155</v>
      </c>
      <c r="B469" t="s">
        <v>40</v>
      </c>
      <c r="C469">
        <v>33</v>
      </c>
      <c r="D469">
        <v>23</v>
      </c>
      <c r="E469">
        <v>72.727272727272734</v>
      </c>
      <c r="F469" t="b">
        <v>1</v>
      </c>
      <c r="G469">
        <v>98.7</v>
      </c>
      <c r="H469">
        <v>79.900000000000006</v>
      </c>
      <c r="I469">
        <v>94.6</v>
      </c>
      <c r="J469">
        <v>100</v>
      </c>
      <c r="K469">
        <v>93.3</v>
      </c>
      <c r="L469" t="s">
        <v>61</v>
      </c>
      <c r="M469">
        <v>3</v>
      </c>
      <c r="N469" t="s">
        <v>50</v>
      </c>
      <c r="O469">
        <v>21</v>
      </c>
      <c r="P469">
        <v>12</v>
      </c>
      <c r="Q469">
        <v>59</v>
      </c>
      <c r="R469" t="s">
        <v>30</v>
      </c>
      <c r="S469">
        <v>3</v>
      </c>
      <c r="T469" t="s">
        <v>41</v>
      </c>
      <c r="U469" t="s">
        <v>56</v>
      </c>
      <c r="V469">
        <v>1</v>
      </c>
      <c r="W469">
        <v>0</v>
      </c>
      <c r="X469">
        <v>0</v>
      </c>
      <c r="Y469">
        <v>12</v>
      </c>
      <c r="Z469" t="s">
        <v>37</v>
      </c>
    </row>
    <row r="470" spans="1:26" x14ac:dyDescent="0.3">
      <c r="A470" t="s">
        <v>155</v>
      </c>
      <c r="B470" t="s">
        <v>57</v>
      </c>
      <c r="C470">
        <v>36</v>
      </c>
      <c r="D470">
        <v>24</v>
      </c>
      <c r="E470">
        <v>58.333333333333343</v>
      </c>
      <c r="F470" t="b">
        <v>1</v>
      </c>
      <c r="G470">
        <v>96.7</v>
      </c>
      <c r="H470">
        <v>100</v>
      </c>
      <c r="I470">
        <v>63.8</v>
      </c>
      <c r="J470">
        <v>88.9</v>
      </c>
      <c r="K470">
        <v>87.35</v>
      </c>
      <c r="L470" t="s">
        <v>61</v>
      </c>
      <c r="M470">
        <v>3</v>
      </c>
      <c r="N470" t="s">
        <v>50</v>
      </c>
      <c r="O470">
        <v>21</v>
      </c>
      <c r="P470">
        <v>10</v>
      </c>
      <c r="Q470">
        <v>61</v>
      </c>
      <c r="R470" t="s">
        <v>30</v>
      </c>
      <c r="S470">
        <v>4</v>
      </c>
      <c r="T470" t="s">
        <v>58</v>
      </c>
      <c r="U470" t="s">
        <v>56</v>
      </c>
      <c r="V470">
        <v>1</v>
      </c>
      <c r="W470">
        <v>0</v>
      </c>
      <c r="X470">
        <v>0</v>
      </c>
      <c r="Y470">
        <v>10</v>
      </c>
      <c r="Z470" t="s">
        <v>37</v>
      </c>
    </row>
    <row r="471" spans="1:26" x14ac:dyDescent="0.3">
      <c r="A471" t="s">
        <v>156</v>
      </c>
      <c r="B471" t="s">
        <v>27</v>
      </c>
      <c r="C471">
        <v>31</v>
      </c>
      <c r="D471">
        <v>21</v>
      </c>
      <c r="E471">
        <v>64.516129032258064</v>
      </c>
      <c r="F471" t="b">
        <v>1</v>
      </c>
      <c r="G471">
        <v>85.5</v>
      </c>
      <c r="H471">
        <v>84.6</v>
      </c>
      <c r="I471">
        <v>73.599999999999994</v>
      </c>
      <c r="J471">
        <v>77.900000000000006</v>
      </c>
      <c r="K471">
        <v>80.400000000000006</v>
      </c>
      <c r="L471" t="s">
        <v>61</v>
      </c>
      <c r="M471">
        <v>6</v>
      </c>
      <c r="N471" t="s">
        <v>55</v>
      </c>
      <c r="O471">
        <v>18</v>
      </c>
      <c r="P471">
        <v>11</v>
      </c>
      <c r="Q471">
        <v>52</v>
      </c>
      <c r="R471" t="s">
        <v>30</v>
      </c>
      <c r="S471">
        <v>4</v>
      </c>
      <c r="T471" t="s">
        <v>31</v>
      </c>
      <c r="U471" t="s">
        <v>56</v>
      </c>
      <c r="V471">
        <v>1</v>
      </c>
      <c r="W471">
        <v>0</v>
      </c>
      <c r="X471">
        <v>0</v>
      </c>
      <c r="Y471">
        <v>11</v>
      </c>
      <c r="Z471" t="s">
        <v>37</v>
      </c>
    </row>
    <row r="472" spans="1:26" x14ac:dyDescent="0.3">
      <c r="A472" t="s">
        <v>156</v>
      </c>
      <c r="B472" t="s">
        <v>51</v>
      </c>
      <c r="C472">
        <v>40</v>
      </c>
      <c r="D472">
        <v>20</v>
      </c>
      <c r="E472">
        <v>70</v>
      </c>
      <c r="F472" t="b">
        <v>1</v>
      </c>
      <c r="G472">
        <v>52.3</v>
      </c>
      <c r="H472">
        <v>90.4</v>
      </c>
      <c r="I472">
        <v>67.099999999999994</v>
      </c>
      <c r="J472">
        <v>87.1</v>
      </c>
      <c r="K472">
        <v>74.224999999999994</v>
      </c>
      <c r="L472" t="s">
        <v>61</v>
      </c>
      <c r="M472">
        <v>6</v>
      </c>
      <c r="N472" t="s">
        <v>55</v>
      </c>
      <c r="O472">
        <v>12</v>
      </c>
      <c r="P472">
        <v>9</v>
      </c>
      <c r="Q472">
        <v>44</v>
      </c>
      <c r="R472" t="s">
        <v>30</v>
      </c>
      <c r="S472">
        <v>3</v>
      </c>
      <c r="T472" t="s">
        <v>52</v>
      </c>
      <c r="U472" t="s">
        <v>36</v>
      </c>
      <c r="V472">
        <v>1</v>
      </c>
      <c r="W472">
        <v>0</v>
      </c>
      <c r="X472">
        <v>0</v>
      </c>
      <c r="Y472">
        <v>9</v>
      </c>
      <c r="Z472" t="s">
        <v>37</v>
      </c>
    </row>
    <row r="473" spans="1:26" x14ac:dyDescent="0.3">
      <c r="A473" t="s">
        <v>156</v>
      </c>
      <c r="B473" t="s">
        <v>34</v>
      </c>
      <c r="C473">
        <v>27</v>
      </c>
      <c r="D473">
        <v>28</v>
      </c>
      <c r="E473">
        <v>59.259259259259252</v>
      </c>
      <c r="F473" t="b">
        <v>1</v>
      </c>
      <c r="G473">
        <v>59.7</v>
      </c>
      <c r="H473">
        <v>84</v>
      </c>
      <c r="I473">
        <v>41</v>
      </c>
      <c r="J473">
        <v>55.4</v>
      </c>
      <c r="K473">
        <v>60.024999999999999</v>
      </c>
      <c r="L473" t="s">
        <v>61</v>
      </c>
      <c r="M473">
        <v>6</v>
      </c>
      <c r="N473" t="s">
        <v>55</v>
      </c>
      <c r="O473">
        <v>13</v>
      </c>
      <c r="P473">
        <v>9</v>
      </c>
      <c r="Q473">
        <v>49</v>
      </c>
      <c r="R473" t="s">
        <v>35</v>
      </c>
      <c r="S473">
        <v>2</v>
      </c>
      <c r="T473" t="s">
        <v>31</v>
      </c>
      <c r="U473" t="s">
        <v>36</v>
      </c>
      <c r="V473">
        <v>1</v>
      </c>
      <c r="W473">
        <v>0</v>
      </c>
      <c r="X473">
        <v>0</v>
      </c>
      <c r="Y473">
        <v>9</v>
      </c>
      <c r="Z473" t="s">
        <v>37</v>
      </c>
    </row>
    <row r="474" spans="1:26" x14ac:dyDescent="0.3">
      <c r="A474" t="s">
        <v>156</v>
      </c>
      <c r="B474" t="s">
        <v>40</v>
      </c>
      <c r="C474">
        <v>35</v>
      </c>
      <c r="D474">
        <v>16</v>
      </c>
      <c r="E474">
        <v>60</v>
      </c>
      <c r="F474" t="b">
        <v>1</v>
      </c>
      <c r="G474">
        <v>60.9</v>
      </c>
      <c r="H474">
        <v>73.3</v>
      </c>
      <c r="I474">
        <v>91.9</v>
      </c>
      <c r="J474">
        <v>71</v>
      </c>
      <c r="K474">
        <v>74.275000000000006</v>
      </c>
      <c r="L474" t="s">
        <v>61</v>
      </c>
      <c r="M474">
        <v>6</v>
      </c>
      <c r="N474" t="s">
        <v>55</v>
      </c>
      <c r="O474">
        <v>19</v>
      </c>
      <c r="P474">
        <v>13</v>
      </c>
      <c r="Q474">
        <v>49</v>
      </c>
      <c r="R474" t="s">
        <v>30</v>
      </c>
      <c r="S474">
        <v>3</v>
      </c>
      <c r="T474" t="s">
        <v>41</v>
      </c>
      <c r="U474" t="s">
        <v>36</v>
      </c>
      <c r="V474">
        <v>1</v>
      </c>
      <c r="W474">
        <v>0</v>
      </c>
      <c r="X474">
        <v>0</v>
      </c>
      <c r="Y474">
        <v>13</v>
      </c>
      <c r="Z474" t="s">
        <v>37</v>
      </c>
    </row>
    <row r="475" spans="1:26" x14ac:dyDescent="0.3">
      <c r="A475" t="s">
        <v>156</v>
      </c>
      <c r="B475" t="s">
        <v>57</v>
      </c>
      <c r="C475">
        <v>39</v>
      </c>
      <c r="D475">
        <v>21</v>
      </c>
      <c r="E475">
        <v>64.102564102564102</v>
      </c>
      <c r="F475" t="b">
        <v>1</v>
      </c>
      <c r="G475">
        <v>68.3</v>
      </c>
      <c r="H475">
        <v>79.7</v>
      </c>
      <c r="I475">
        <v>51.2</v>
      </c>
      <c r="J475">
        <v>71.7</v>
      </c>
      <c r="K475">
        <v>67.724999999999994</v>
      </c>
      <c r="L475" t="s">
        <v>61</v>
      </c>
      <c r="M475">
        <v>6</v>
      </c>
      <c r="N475" t="s">
        <v>55</v>
      </c>
      <c r="O475">
        <v>22</v>
      </c>
      <c r="P475">
        <v>5</v>
      </c>
      <c r="Q475">
        <v>59</v>
      </c>
      <c r="R475" t="s">
        <v>30</v>
      </c>
      <c r="S475">
        <v>4</v>
      </c>
      <c r="T475" t="s">
        <v>58</v>
      </c>
      <c r="U475" t="s">
        <v>36</v>
      </c>
      <c r="V475">
        <v>1</v>
      </c>
      <c r="W475">
        <v>0</v>
      </c>
      <c r="X475">
        <v>0</v>
      </c>
      <c r="Y475">
        <v>5</v>
      </c>
      <c r="Z475" t="s">
        <v>37</v>
      </c>
    </row>
    <row r="476" spans="1:26" x14ac:dyDescent="0.3">
      <c r="A476" t="s">
        <v>156</v>
      </c>
      <c r="B476" t="s">
        <v>45</v>
      </c>
      <c r="C476">
        <v>38</v>
      </c>
      <c r="D476">
        <v>25</v>
      </c>
      <c r="E476">
        <v>60.526315789473678</v>
      </c>
      <c r="F476" t="b">
        <v>1</v>
      </c>
      <c r="G476">
        <v>78.3</v>
      </c>
      <c r="H476">
        <v>83.6</v>
      </c>
      <c r="I476">
        <v>55</v>
      </c>
      <c r="J476">
        <v>67.3</v>
      </c>
      <c r="K476">
        <v>71.05</v>
      </c>
      <c r="L476" t="s">
        <v>61</v>
      </c>
      <c r="M476">
        <v>6</v>
      </c>
      <c r="N476" t="s">
        <v>55</v>
      </c>
      <c r="O476">
        <v>19</v>
      </c>
      <c r="P476">
        <v>12</v>
      </c>
      <c r="Q476">
        <v>65</v>
      </c>
      <c r="R476" t="s">
        <v>46</v>
      </c>
      <c r="S476">
        <v>4</v>
      </c>
      <c r="T476" t="s">
        <v>47</v>
      </c>
      <c r="U476" t="s">
        <v>36</v>
      </c>
      <c r="V476">
        <v>1</v>
      </c>
      <c r="W476">
        <v>0</v>
      </c>
      <c r="X476">
        <v>0</v>
      </c>
      <c r="Y476">
        <v>12</v>
      </c>
      <c r="Z476" t="s">
        <v>37</v>
      </c>
    </row>
    <row r="477" spans="1:26" x14ac:dyDescent="0.3">
      <c r="A477" t="s">
        <v>157</v>
      </c>
      <c r="B477" t="s">
        <v>27</v>
      </c>
      <c r="C477">
        <v>25</v>
      </c>
      <c r="D477">
        <v>23</v>
      </c>
      <c r="E477">
        <v>68</v>
      </c>
      <c r="F477" t="b">
        <v>1</v>
      </c>
      <c r="G477">
        <v>82.1</v>
      </c>
      <c r="H477">
        <v>77.8</v>
      </c>
      <c r="I477">
        <v>87.6</v>
      </c>
      <c r="J477">
        <v>74</v>
      </c>
      <c r="K477">
        <v>80.375</v>
      </c>
      <c r="L477" t="s">
        <v>54</v>
      </c>
      <c r="M477">
        <v>4</v>
      </c>
      <c r="N477" t="s">
        <v>29</v>
      </c>
      <c r="O477">
        <v>11</v>
      </c>
      <c r="P477">
        <v>10</v>
      </c>
      <c r="Q477">
        <v>51</v>
      </c>
      <c r="R477" t="s">
        <v>30</v>
      </c>
      <c r="S477">
        <v>4</v>
      </c>
      <c r="T477" t="s">
        <v>31</v>
      </c>
      <c r="U477" t="s">
        <v>56</v>
      </c>
      <c r="V477">
        <v>1</v>
      </c>
      <c r="W477">
        <v>0</v>
      </c>
      <c r="X477">
        <v>0</v>
      </c>
      <c r="Y477">
        <v>10</v>
      </c>
      <c r="Z477" t="s">
        <v>37</v>
      </c>
    </row>
    <row r="478" spans="1:26" x14ac:dyDescent="0.3">
      <c r="A478" t="s">
        <v>157</v>
      </c>
      <c r="B478" t="s">
        <v>51</v>
      </c>
      <c r="C478">
        <v>34</v>
      </c>
      <c r="D478">
        <v>17</v>
      </c>
      <c r="E478">
        <v>73.529411764705884</v>
      </c>
      <c r="F478" t="b">
        <v>1</v>
      </c>
      <c r="G478">
        <v>86.8</v>
      </c>
      <c r="H478">
        <v>70.2</v>
      </c>
      <c r="I478">
        <v>63.1</v>
      </c>
      <c r="J478">
        <v>76.3</v>
      </c>
      <c r="K478">
        <v>74.099999999999994</v>
      </c>
      <c r="L478" t="s">
        <v>54</v>
      </c>
      <c r="M478">
        <v>4</v>
      </c>
      <c r="N478" t="s">
        <v>29</v>
      </c>
      <c r="O478">
        <v>19</v>
      </c>
      <c r="P478">
        <v>10</v>
      </c>
      <c r="Q478">
        <v>59</v>
      </c>
      <c r="R478" t="s">
        <v>30</v>
      </c>
      <c r="S478">
        <v>3</v>
      </c>
      <c r="T478" t="s">
        <v>52</v>
      </c>
      <c r="U478" t="s">
        <v>36</v>
      </c>
      <c r="V478">
        <v>1</v>
      </c>
      <c r="W478">
        <v>0</v>
      </c>
      <c r="X478">
        <v>0</v>
      </c>
      <c r="Y478">
        <v>10</v>
      </c>
      <c r="Z478" t="s">
        <v>37</v>
      </c>
    </row>
    <row r="479" spans="1:26" x14ac:dyDescent="0.3">
      <c r="A479" t="s">
        <v>157</v>
      </c>
      <c r="B479" t="s">
        <v>38</v>
      </c>
      <c r="C479">
        <v>34</v>
      </c>
      <c r="D479">
        <v>25</v>
      </c>
      <c r="E479">
        <v>52.941176470588239</v>
      </c>
      <c r="F479" t="b">
        <v>1</v>
      </c>
      <c r="G479">
        <v>78.7</v>
      </c>
      <c r="H479">
        <v>91.3</v>
      </c>
      <c r="I479">
        <v>68.400000000000006</v>
      </c>
      <c r="J479">
        <v>80</v>
      </c>
      <c r="K479">
        <v>79.599999999999994</v>
      </c>
      <c r="L479" t="s">
        <v>54</v>
      </c>
      <c r="M479">
        <v>4</v>
      </c>
      <c r="N479" t="s">
        <v>29</v>
      </c>
      <c r="O479">
        <v>18</v>
      </c>
      <c r="P479">
        <v>12</v>
      </c>
      <c r="Q479">
        <v>73</v>
      </c>
      <c r="R479" t="s">
        <v>30</v>
      </c>
      <c r="S479">
        <v>3</v>
      </c>
      <c r="T479" t="s">
        <v>39</v>
      </c>
      <c r="U479" t="s">
        <v>56</v>
      </c>
      <c r="V479">
        <v>1</v>
      </c>
      <c r="W479">
        <v>0</v>
      </c>
      <c r="X479">
        <v>0</v>
      </c>
      <c r="Y479">
        <v>12</v>
      </c>
      <c r="Z479" t="s">
        <v>37</v>
      </c>
    </row>
    <row r="480" spans="1:26" x14ac:dyDescent="0.3">
      <c r="A480" t="s">
        <v>157</v>
      </c>
      <c r="B480" t="s">
        <v>40</v>
      </c>
      <c r="C480">
        <v>31</v>
      </c>
      <c r="D480">
        <v>18</v>
      </c>
      <c r="E480">
        <v>61.29032258064516</v>
      </c>
      <c r="F480" t="b">
        <v>1</v>
      </c>
      <c r="G480">
        <v>100</v>
      </c>
      <c r="H480">
        <v>73.2</v>
      </c>
      <c r="I480">
        <v>91.2</v>
      </c>
      <c r="J480">
        <v>100</v>
      </c>
      <c r="K480">
        <v>91.1</v>
      </c>
      <c r="L480" t="s">
        <v>54</v>
      </c>
      <c r="M480">
        <v>4</v>
      </c>
      <c r="N480" t="s">
        <v>29</v>
      </c>
      <c r="O480">
        <v>17</v>
      </c>
      <c r="P480">
        <v>7</v>
      </c>
      <c r="Q480">
        <v>59</v>
      </c>
      <c r="R480" t="s">
        <v>30</v>
      </c>
      <c r="S480">
        <v>3</v>
      </c>
      <c r="T480" t="s">
        <v>41</v>
      </c>
      <c r="U480" t="s">
        <v>56</v>
      </c>
      <c r="V480">
        <v>1</v>
      </c>
      <c r="W480">
        <v>0</v>
      </c>
      <c r="X480">
        <v>0</v>
      </c>
      <c r="Y480">
        <v>7</v>
      </c>
      <c r="Z480" t="s">
        <v>37</v>
      </c>
    </row>
    <row r="481" spans="1:26" x14ac:dyDescent="0.3">
      <c r="A481" t="s">
        <v>157</v>
      </c>
      <c r="B481" t="s">
        <v>42</v>
      </c>
      <c r="C481">
        <v>33</v>
      </c>
      <c r="D481">
        <v>19</v>
      </c>
      <c r="E481">
        <v>66.666666666666657</v>
      </c>
      <c r="F481" t="b">
        <v>1</v>
      </c>
      <c r="G481">
        <v>96.8</v>
      </c>
      <c r="H481">
        <v>70.400000000000006</v>
      </c>
      <c r="I481">
        <v>63.5</v>
      </c>
      <c r="J481">
        <v>87.8</v>
      </c>
      <c r="K481">
        <v>79.625</v>
      </c>
      <c r="L481" t="s">
        <v>54</v>
      </c>
      <c r="M481">
        <v>4</v>
      </c>
      <c r="N481" t="s">
        <v>29</v>
      </c>
      <c r="O481">
        <v>10</v>
      </c>
      <c r="P481">
        <v>12</v>
      </c>
      <c r="Q481">
        <v>44</v>
      </c>
      <c r="R481" t="s">
        <v>43</v>
      </c>
      <c r="S481">
        <v>3</v>
      </c>
      <c r="T481" t="s">
        <v>44</v>
      </c>
      <c r="U481" t="s">
        <v>56</v>
      </c>
      <c r="V481">
        <v>1</v>
      </c>
      <c r="W481">
        <v>0</v>
      </c>
      <c r="X481">
        <v>0</v>
      </c>
      <c r="Y481">
        <v>12</v>
      </c>
      <c r="Z481" t="s">
        <v>37</v>
      </c>
    </row>
    <row r="482" spans="1:26" x14ac:dyDescent="0.3">
      <c r="A482" t="s">
        <v>158</v>
      </c>
      <c r="B482" t="s">
        <v>27</v>
      </c>
      <c r="C482">
        <v>39</v>
      </c>
      <c r="D482">
        <v>22</v>
      </c>
      <c r="E482">
        <v>74.358974358974365</v>
      </c>
      <c r="F482" t="b">
        <v>1</v>
      </c>
      <c r="G482">
        <v>98.4</v>
      </c>
      <c r="H482">
        <v>89.4</v>
      </c>
      <c r="I482">
        <v>91.7</v>
      </c>
      <c r="K482">
        <v>93.166666666666686</v>
      </c>
      <c r="L482" t="s">
        <v>54</v>
      </c>
      <c r="M482">
        <v>4</v>
      </c>
      <c r="N482" t="s">
        <v>55</v>
      </c>
      <c r="O482">
        <v>17</v>
      </c>
      <c r="P482">
        <v>10</v>
      </c>
      <c r="Q482">
        <v>47</v>
      </c>
      <c r="R482" t="s">
        <v>30</v>
      </c>
      <c r="S482">
        <v>4</v>
      </c>
      <c r="T482" t="s">
        <v>31</v>
      </c>
      <c r="U482" t="s">
        <v>56</v>
      </c>
      <c r="V482">
        <v>1</v>
      </c>
      <c r="W482">
        <v>0</v>
      </c>
      <c r="X482">
        <v>1</v>
      </c>
      <c r="Y482">
        <v>10</v>
      </c>
      <c r="Z482" t="s">
        <v>37</v>
      </c>
    </row>
    <row r="483" spans="1:26" x14ac:dyDescent="0.3">
      <c r="A483" t="s">
        <v>158</v>
      </c>
      <c r="B483" t="s">
        <v>51</v>
      </c>
      <c r="C483">
        <v>38</v>
      </c>
      <c r="D483">
        <v>29</v>
      </c>
      <c r="E483">
        <v>78.94736842105263</v>
      </c>
      <c r="F483" t="b">
        <v>1</v>
      </c>
      <c r="G483">
        <v>71.2</v>
      </c>
      <c r="H483">
        <v>89.4</v>
      </c>
      <c r="I483">
        <v>86.6</v>
      </c>
      <c r="J483">
        <v>78.5</v>
      </c>
      <c r="K483">
        <v>81.425000000000011</v>
      </c>
      <c r="L483" t="s">
        <v>54</v>
      </c>
      <c r="M483">
        <v>4</v>
      </c>
      <c r="N483" t="s">
        <v>55</v>
      </c>
      <c r="O483">
        <v>17</v>
      </c>
      <c r="P483">
        <v>5</v>
      </c>
      <c r="Q483">
        <v>41</v>
      </c>
      <c r="R483" t="s">
        <v>30</v>
      </c>
      <c r="S483">
        <v>3</v>
      </c>
      <c r="T483" t="s">
        <v>52</v>
      </c>
      <c r="U483" t="s">
        <v>56</v>
      </c>
      <c r="V483">
        <v>0</v>
      </c>
      <c r="W483">
        <v>0</v>
      </c>
      <c r="X483">
        <v>0</v>
      </c>
      <c r="Y483">
        <v>5</v>
      </c>
      <c r="Z483" t="s">
        <v>37</v>
      </c>
    </row>
    <row r="484" spans="1:26" x14ac:dyDescent="0.3">
      <c r="A484" t="s">
        <v>158</v>
      </c>
      <c r="B484" t="s">
        <v>38</v>
      </c>
      <c r="C484">
        <v>34</v>
      </c>
      <c r="D484">
        <v>30</v>
      </c>
      <c r="E484">
        <v>58.82352941176471</v>
      </c>
      <c r="F484" t="b">
        <v>1</v>
      </c>
      <c r="G484">
        <v>65.7</v>
      </c>
      <c r="H484">
        <v>76.900000000000006</v>
      </c>
      <c r="I484">
        <v>57.9</v>
      </c>
      <c r="K484">
        <v>66.833333333333343</v>
      </c>
      <c r="L484" t="s">
        <v>54</v>
      </c>
      <c r="M484">
        <v>4</v>
      </c>
      <c r="N484" t="s">
        <v>55</v>
      </c>
      <c r="O484">
        <v>20</v>
      </c>
      <c r="P484">
        <v>10</v>
      </c>
      <c r="Q484">
        <v>56</v>
      </c>
      <c r="R484" t="s">
        <v>30</v>
      </c>
      <c r="S484">
        <v>3</v>
      </c>
      <c r="T484" t="s">
        <v>39</v>
      </c>
      <c r="U484" t="s">
        <v>36</v>
      </c>
      <c r="V484">
        <v>1</v>
      </c>
      <c r="W484">
        <v>0</v>
      </c>
      <c r="X484">
        <v>1</v>
      </c>
      <c r="Y484">
        <v>10</v>
      </c>
      <c r="Z484" t="s">
        <v>37</v>
      </c>
    </row>
    <row r="485" spans="1:26" x14ac:dyDescent="0.3">
      <c r="A485" t="s">
        <v>158</v>
      </c>
      <c r="B485" t="s">
        <v>40</v>
      </c>
      <c r="C485">
        <v>25</v>
      </c>
      <c r="D485">
        <v>20</v>
      </c>
      <c r="E485">
        <v>56.000000000000007</v>
      </c>
      <c r="F485" t="b">
        <v>1</v>
      </c>
      <c r="G485">
        <v>79.900000000000006</v>
      </c>
      <c r="H485">
        <v>86.1</v>
      </c>
      <c r="I485">
        <v>56.5</v>
      </c>
      <c r="J485">
        <v>85.3</v>
      </c>
      <c r="K485">
        <v>76.95</v>
      </c>
      <c r="L485" t="s">
        <v>54</v>
      </c>
      <c r="M485">
        <v>4</v>
      </c>
      <c r="N485" t="s">
        <v>55</v>
      </c>
      <c r="O485">
        <v>15</v>
      </c>
      <c r="P485">
        <v>9</v>
      </c>
      <c r="Q485">
        <v>60</v>
      </c>
      <c r="R485" t="s">
        <v>30</v>
      </c>
      <c r="S485">
        <v>3</v>
      </c>
      <c r="T485" t="s">
        <v>41</v>
      </c>
      <c r="U485" t="s">
        <v>56</v>
      </c>
      <c r="V485">
        <v>1</v>
      </c>
      <c r="W485">
        <v>0</v>
      </c>
      <c r="X485">
        <v>0</v>
      </c>
      <c r="Y485">
        <v>9</v>
      </c>
      <c r="Z485" t="s">
        <v>37</v>
      </c>
    </row>
    <row r="486" spans="1:26" x14ac:dyDescent="0.3">
      <c r="A486" t="s">
        <v>158</v>
      </c>
      <c r="B486" t="s">
        <v>57</v>
      </c>
      <c r="C486">
        <v>24</v>
      </c>
      <c r="D486">
        <v>14</v>
      </c>
      <c r="E486">
        <v>79.166666666666657</v>
      </c>
      <c r="F486" t="b">
        <v>1</v>
      </c>
      <c r="G486">
        <v>100</v>
      </c>
      <c r="H486">
        <v>78.599999999999994</v>
      </c>
      <c r="I486">
        <v>64.900000000000006</v>
      </c>
      <c r="J486">
        <v>81.2</v>
      </c>
      <c r="K486">
        <v>81.174999999999997</v>
      </c>
      <c r="L486" t="s">
        <v>54</v>
      </c>
      <c r="M486">
        <v>4</v>
      </c>
      <c r="N486" t="s">
        <v>55</v>
      </c>
      <c r="O486">
        <v>18</v>
      </c>
      <c r="P486">
        <v>5</v>
      </c>
      <c r="Q486">
        <v>51</v>
      </c>
      <c r="R486" t="s">
        <v>30</v>
      </c>
      <c r="S486">
        <v>4</v>
      </c>
      <c r="T486" t="s">
        <v>58</v>
      </c>
      <c r="U486" t="s">
        <v>56</v>
      </c>
      <c r="V486">
        <v>0</v>
      </c>
      <c r="W486">
        <v>0</v>
      </c>
      <c r="X486">
        <v>0</v>
      </c>
      <c r="Y486">
        <v>5</v>
      </c>
      <c r="Z486" t="s">
        <v>37</v>
      </c>
    </row>
    <row r="487" spans="1:26" x14ac:dyDescent="0.3">
      <c r="A487" t="s">
        <v>159</v>
      </c>
      <c r="B487" t="s">
        <v>27</v>
      </c>
      <c r="C487">
        <v>25</v>
      </c>
      <c r="D487">
        <v>19</v>
      </c>
      <c r="E487">
        <v>48</v>
      </c>
      <c r="F487" t="b">
        <v>1</v>
      </c>
      <c r="G487">
        <v>57.7</v>
      </c>
      <c r="H487">
        <v>68.099999999999994</v>
      </c>
      <c r="I487">
        <v>42.5</v>
      </c>
      <c r="J487">
        <v>33.299999999999997</v>
      </c>
      <c r="K487">
        <v>50.400000000000013</v>
      </c>
      <c r="L487" t="s">
        <v>28</v>
      </c>
      <c r="M487">
        <v>4</v>
      </c>
      <c r="N487" t="s">
        <v>29</v>
      </c>
      <c r="O487">
        <v>11</v>
      </c>
      <c r="P487">
        <v>9</v>
      </c>
      <c r="Q487">
        <v>52</v>
      </c>
      <c r="R487" t="s">
        <v>30</v>
      </c>
      <c r="S487">
        <v>4</v>
      </c>
      <c r="T487" t="s">
        <v>31</v>
      </c>
      <c r="U487" t="s">
        <v>32</v>
      </c>
      <c r="V487">
        <v>1</v>
      </c>
      <c r="W487">
        <v>0</v>
      </c>
      <c r="X487">
        <v>0</v>
      </c>
      <c r="Y487">
        <v>9</v>
      </c>
      <c r="Z487" t="s">
        <v>33</v>
      </c>
    </row>
    <row r="488" spans="1:26" x14ac:dyDescent="0.3">
      <c r="A488" t="s">
        <v>159</v>
      </c>
      <c r="B488" t="s">
        <v>51</v>
      </c>
      <c r="C488">
        <v>30</v>
      </c>
      <c r="D488">
        <v>12</v>
      </c>
      <c r="E488">
        <v>53.333333333333343</v>
      </c>
      <c r="F488" t="b">
        <v>1</v>
      </c>
      <c r="G488">
        <v>48.7</v>
      </c>
      <c r="H488">
        <v>45.9</v>
      </c>
      <c r="I488">
        <v>41.7</v>
      </c>
      <c r="J488">
        <v>51.6</v>
      </c>
      <c r="K488">
        <v>46.975000000000001</v>
      </c>
      <c r="L488" t="s">
        <v>28</v>
      </c>
      <c r="M488">
        <v>4</v>
      </c>
      <c r="N488" t="s">
        <v>29</v>
      </c>
      <c r="O488">
        <v>10</v>
      </c>
      <c r="P488">
        <v>6</v>
      </c>
      <c r="Q488">
        <v>18</v>
      </c>
      <c r="R488" t="s">
        <v>30</v>
      </c>
      <c r="S488">
        <v>3</v>
      </c>
      <c r="T488" t="s">
        <v>52</v>
      </c>
      <c r="U488" t="s">
        <v>32</v>
      </c>
      <c r="V488">
        <v>1</v>
      </c>
      <c r="W488">
        <v>0</v>
      </c>
      <c r="X488">
        <v>0</v>
      </c>
      <c r="Y488">
        <v>6</v>
      </c>
      <c r="Z488" t="s">
        <v>33</v>
      </c>
    </row>
    <row r="489" spans="1:26" x14ac:dyDescent="0.3">
      <c r="A489" t="s">
        <v>159</v>
      </c>
      <c r="B489" t="s">
        <v>38</v>
      </c>
      <c r="C489">
        <v>30</v>
      </c>
      <c r="D489">
        <v>16</v>
      </c>
      <c r="E489">
        <v>60</v>
      </c>
      <c r="F489" t="b">
        <v>1</v>
      </c>
      <c r="G489">
        <v>48.6</v>
      </c>
      <c r="H489">
        <v>43.4</v>
      </c>
      <c r="I489">
        <v>45.8</v>
      </c>
      <c r="J489">
        <v>41.2</v>
      </c>
      <c r="K489">
        <v>44.75</v>
      </c>
      <c r="L489" t="s">
        <v>28</v>
      </c>
      <c r="M489">
        <v>4</v>
      </c>
      <c r="N489" t="s">
        <v>29</v>
      </c>
      <c r="O489">
        <v>15</v>
      </c>
      <c r="P489">
        <v>8</v>
      </c>
      <c r="Q489">
        <v>49</v>
      </c>
      <c r="R489" t="s">
        <v>30</v>
      </c>
      <c r="S489">
        <v>3</v>
      </c>
      <c r="T489" t="s">
        <v>39</v>
      </c>
      <c r="U489" t="s">
        <v>32</v>
      </c>
      <c r="V489">
        <v>1</v>
      </c>
      <c r="W489">
        <v>0</v>
      </c>
      <c r="X489">
        <v>0</v>
      </c>
      <c r="Y489">
        <v>8</v>
      </c>
      <c r="Z489" t="s">
        <v>33</v>
      </c>
    </row>
    <row r="490" spans="1:26" x14ac:dyDescent="0.3">
      <c r="A490" t="s">
        <v>159</v>
      </c>
      <c r="B490" t="s">
        <v>40</v>
      </c>
      <c r="C490">
        <v>25</v>
      </c>
      <c r="D490">
        <v>18</v>
      </c>
      <c r="E490">
        <v>40</v>
      </c>
      <c r="F490" t="b">
        <v>1</v>
      </c>
      <c r="G490">
        <v>46.7</v>
      </c>
      <c r="H490">
        <v>58</v>
      </c>
      <c r="I490">
        <v>37.5</v>
      </c>
      <c r="J490">
        <v>37.299999999999997</v>
      </c>
      <c r="K490">
        <v>44.875</v>
      </c>
      <c r="L490" t="s">
        <v>28</v>
      </c>
      <c r="M490">
        <v>4</v>
      </c>
      <c r="N490" t="s">
        <v>29</v>
      </c>
      <c r="O490">
        <v>17</v>
      </c>
      <c r="P490">
        <v>10</v>
      </c>
      <c r="Q490">
        <v>50</v>
      </c>
      <c r="R490" t="s">
        <v>30</v>
      </c>
      <c r="S490">
        <v>3</v>
      </c>
      <c r="T490" t="s">
        <v>41</v>
      </c>
      <c r="U490" t="s">
        <v>32</v>
      </c>
      <c r="V490">
        <v>1</v>
      </c>
      <c r="W490">
        <v>0</v>
      </c>
      <c r="X490">
        <v>0</v>
      </c>
      <c r="Y490">
        <v>10</v>
      </c>
      <c r="Z490" t="s">
        <v>33</v>
      </c>
    </row>
    <row r="491" spans="1:26" x14ac:dyDescent="0.3">
      <c r="A491" t="s">
        <v>159</v>
      </c>
      <c r="B491" t="s">
        <v>57</v>
      </c>
      <c r="C491">
        <v>35</v>
      </c>
      <c r="D491">
        <v>10</v>
      </c>
      <c r="E491">
        <v>40</v>
      </c>
      <c r="F491" t="b">
        <v>1</v>
      </c>
      <c r="G491">
        <v>50.1</v>
      </c>
      <c r="H491">
        <v>56.7</v>
      </c>
      <c r="I491">
        <v>26.8</v>
      </c>
      <c r="J491">
        <v>52</v>
      </c>
      <c r="K491">
        <v>46.400000000000013</v>
      </c>
      <c r="L491" t="s">
        <v>28</v>
      </c>
      <c r="M491">
        <v>4</v>
      </c>
      <c r="N491" t="s">
        <v>29</v>
      </c>
      <c r="O491">
        <v>23</v>
      </c>
      <c r="P491">
        <v>11</v>
      </c>
      <c r="Q491">
        <v>70</v>
      </c>
      <c r="R491" t="s">
        <v>30</v>
      </c>
      <c r="S491">
        <v>4</v>
      </c>
      <c r="T491" t="s">
        <v>58</v>
      </c>
      <c r="U491" t="s">
        <v>32</v>
      </c>
      <c r="V491">
        <v>1</v>
      </c>
      <c r="W491">
        <v>0</v>
      </c>
      <c r="X491">
        <v>0</v>
      </c>
      <c r="Y491">
        <v>11</v>
      </c>
      <c r="Z491" t="s">
        <v>33</v>
      </c>
    </row>
    <row r="492" spans="1:26" x14ac:dyDescent="0.3">
      <c r="A492" t="s">
        <v>159</v>
      </c>
      <c r="B492" t="s">
        <v>42</v>
      </c>
      <c r="C492">
        <v>27</v>
      </c>
      <c r="D492">
        <v>14</v>
      </c>
      <c r="E492">
        <v>62.962962962962962</v>
      </c>
      <c r="F492" t="b">
        <v>1</v>
      </c>
      <c r="G492">
        <v>38.5</v>
      </c>
      <c r="H492">
        <v>61.7</v>
      </c>
      <c r="I492">
        <v>43.9</v>
      </c>
      <c r="J492">
        <v>42.5</v>
      </c>
      <c r="K492">
        <v>46.65</v>
      </c>
      <c r="L492" t="s">
        <v>28</v>
      </c>
      <c r="M492">
        <v>4</v>
      </c>
      <c r="N492" t="s">
        <v>29</v>
      </c>
      <c r="O492">
        <v>19</v>
      </c>
      <c r="P492">
        <v>8</v>
      </c>
      <c r="Q492">
        <v>52</v>
      </c>
      <c r="R492" t="s">
        <v>43</v>
      </c>
      <c r="S492">
        <v>3</v>
      </c>
      <c r="T492" t="s">
        <v>44</v>
      </c>
      <c r="U492" t="s">
        <v>32</v>
      </c>
      <c r="V492">
        <v>1</v>
      </c>
      <c r="W492">
        <v>0</v>
      </c>
      <c r="X492">
        <v>0</v>
      </c>
      <c r="Y492">
        <v>8</v>
      </c>
      <c r="Z492" t="s">
        <v>33</v>
      </c>
    </row>
    <row r="493" spans="1:26" x14ac:dyDescent="0.3">
      <c r="A493" t="s">
        <v>160</v>
      </c>
      <c r="B493" t="s">
        <v>34</v>
      </c>
      <c r="C493">
        <v>32</v>
      </c>
      <c r="D493">
        <v>17</v>
      </c>
      <c r="E493">
        <v>81.25</v>
      </c>
      <c r="F493" t="b">
        <v>1</v>
      </c>
      <c r="G493">
        <v>78</v>
      </c>
      <c r="H493">
        <v>77.599999999999994</v>
      </c>
      <c r="I493">
        <v>53.8</v>
      </c>
      <c r="J493">
        <v>78.5</v>
      </c>
      <c r="K493">
        <v>71.974999999999994</v>
      </c>
      <c r="L493" t="s">
        <v>61</v>
      </c>
      <c r="M493">
        <v>5</v>
      </c>
      <c r="N493" t="s">
        <v>29</v>
      </c>
      <c r="O493">
        <v>20</v>
      </c>
      <c r="P493">
        <v>10</v>
      </c>
      <c r="Q493">
        <v>60</v>
      </c>
      <c r="R493" t="s">
        <v>35</v>
      </c>
      <c r="S493">
        <v>2</v>
      </c>
      <c r="T493" t="s">
        <v>31</v>
      </c>
      <c r="U493" t="s">
        <v>36</v>
      </c>
      <c r="V493">
        <v>0</v>
      </c>
      <c r="W493">
        <v>0</v>
      </c>
      <c r="X493">
        <v>0</v>
      </c>
      <c r="Y493">
        <v>10</v>
      </c>
      <c r="Z493" t="s">
        <v>37</v>
      </c>
    </row>
    <row r="494" spans="1:26" x14ac:dyDescent="0.3">
      <c r="A494" t="s">
        <v>160</v>
      </c>
      <c r="B494" t="s">
        <v>40</v>
      </c>
      <c r="C494">
        <v>38</v>
      </c>
      <c r="D494">
        <v>26</v>
      </c>
      <c r="E494">
        <v>68.421052631578945</v>
      </c>
      <c r="F494" t="b">
        <v>1</v>
      </c>
      <c r="G494">
        <v>79.7</v>
      </c>
      <c r="H494">
        <v>84.6</v>
      </c>
      <c r="I494">
        <v>77.400000000000006</v>
      </c>
      <c r="J494">
        <v>80.2</v>
      </c>
      <c r="K494">
        <v>80.475000000000009</v>
      </c>
      <c r="L494" t="s">
        <v>61</v>
      </c>
      <c r="M494">
        <v>5</v>
      </c>
      <c r="N494" t="s">
        <v>29</v>
      </c>
      <c r="O494">
        <v>15</v>
      </c>
      <c r="P494">
        <v>10</v>
      </c>
      <c r="Q494">
        <v>44</v>
      </c>
      <c r="R494" t="s">
        <v>30</v>
      </c>
      <c r="S494">
        <v>3</v>
      </c>
      <c r="T494" t="s">
        <v>41</v>
      </c>
      <c r="U494" t="s">
        <v>56</v>
      </c>
      <c r="V494">
        <v>1</v>
      </c>
      <c r="W494">
        <v>0</v>
      </c>
      <c r="X494">
        <v>0</v>
      </c>
      <c r="Y494">
        <v>10</v>
      </c>
      <c r="Z494" t="s">
        <v>37</v>
      </c>
    </row>
    <row r="495" spans="1:26" x14ac:dyDescent="0.3">
      <c r="A495" t="s">
        <v>160</v>
      </c>
      <c r="B495" t="s">
        <v>42</v>
      </c>
      <c r="C495">
        <v>32</v>
      </c>
      <c r="D495">
        <v>26</v>
      </c>
      <c r="E495">
        <v>84.375</v>
      </c>
      <c r="F495" t="b">
        <v>1</v>
      </c>
      <c r="G495">
        <v>58.4</v>
      </c>
      <c r="H495">
        <v>71.599999999999994</v>
      </c>
      <c r="I495">
        <v>55.1</v>
      </c>
      <c r="J495">
        <v>79</v>
      </c>
      <c r="K495">
        <v>66.025000000000006</v>
      </c>
      <c r="L495" t="s">
        <v>61</v>
      </c>
      <c r="M495">
        <v>5</v>
      </c>
      <c r="N495" t="s">
        <v>29</v>
      </c>
      <c r="O495">
        <v>19</v>
      </c>
      <c r="P495">
        <v>7</v>
      </c>
      <c r="Q495">
        <v>55</v>
      </c>
      <c r="R495" t="s">
        <v>43</v>
      </c>
      <c r="S495">
        <v>3</v>
      </c>
      <c r="T495" t="s">
        <v>44</v>
      </c>
      <c r="U495" t="s">
        <v>36</v>
      </c>
      <c r="V495">
        <v>0</v>
      </c>
      <c r="W495">
        <v>0</v>
      </c>
      <c r="X495">
        <v>0</v>
      </c>
      <c r="Y495">
        <v>7</v>
      </c>
      <c r="Z495" t="s">
        <v>37</v>
      </c>
    </row>
    <row r="496" spans="1:26" x14ac:dyDescent="0.3">
      <c r="A496" t="s">
        <v>160</v>
      </c>
      <c r="B496" t="s">
        <v>45</v>
      </c>
      <c r="C496">
        <v>40</v>
      </c>
      <c r="D496">
        <v>27</v>
      </c>
      <c r="E496">
        <v>77.5</v>
      </c>
      <c r="F496" t="b">
        <v>1</v>
      </c>
      <c r="G496">
        <v>58.6</v>
      </c>
      <c r="H496">
        <v>86.3</v>
      </c>
      <c r="I496">
        <v>75.599999999999994</v>
      </c>
      <c r="J496">
        <v>70.3</v>
      </c>
      <c r="K496">
        <v>72.7</v>
      </c>
      <c r="L496" t="s">
        <v>61</v>
      </c>
      <c r="M496">
        <v>5</v>
      </c>
      <c r="N496" t="s">
        <v>29</v>
      </c>
      <c r="O496">
        <v>19</v>
      </c>
      <c r="P496">
        <v>9</v>
      </c>
      <c r="Q496">
        <v>54</v>
      </c>
      <c r="R496" t="s">
        <v>46</v>
      </c>
      <c r="S496">
        <v>4</v>
      </c>
      <c r="T496" t="s">
        <v>47</v>
      </c>
      <c r="U496" t="s">
        <v>36</v>
      </c>
      <c r="V496">
        <v>0</v>
      </c>
      <c r="W496">
        <v>0</v>
      </c>
      <c r="X496">
        <v>0</v>
      </c>
      <c r="Y496">
        <v>9</v>
      </c>
      <c r="Z496" t="s">
        <v>37</v>
      </c>
    </row>
    <row r="497" spans="1:26" x14ac:dyDescent="0.3">
      <c r="A497" t="s">
        <v>161</v>
      </c>
      <c r="B497" t="s">
        <v>51</v>
      </c>
      <c r="C497">
        <v>40</v>
      </c>
      <c r="D497">
        <v>31</v>
      </c>
      <c r="E497">
        <v>72.5</v>
      </c>
      <c r="F497" t="b">
        <v>1</v>
      </c>
      <c r="G497">
        <v>66.3</v>
      </c>
      <c r="H497">
        <v>53.9</v>
      </c>
      <c r="I497">
        <v>61.8</v>
      </c>
      <c r="J497">
        <v>75.5</v>
      </c>
      <c r="K497">
        <v>64.375</v>
      </c>
      <c r="L497" t="s">
        <v>54</v>
      </c>
      <c r="M497">
        <v>6</v>
      </c>
      <c r="N497" t="s">
        <v>50</v>
      </c>
      <c r="O497">
        <v>20</v>
      </c>
      <c r="P497">
        <v>10</v>
      </c>
      <c r="Q497">
        <v>58</v>
      </c>
      <c r="R497" t="s">
        <v>30</v>
      </c>
      <c r="S497">
        <v>3</v>
      </c>
      <c r="T497" t="s">
        <v>52</v>
      </c>
      <c r="U497" t="s">
        <v>36</v>
      </c>
      <c r="V497">
        <v>1</v>
      </c>
      <c r="W497">
        <v>0</v>
      </c>
      <c r="X497">
        <v>0</v>
      </c>
      <c r="Y497">
        <v>10</v>
      </c>
      <c r="Z497" t="s">
        <v>37</v>
      </c>
    </row>
    <row r="498" spans="1:26" x14ac:dyDescent="0.3">
      <c r="A498" t="s">
        <v>161</v>
      </c>
      <c r="B498" t="s">
        <v>34</v>
      </c>
      <c r="C498">
        <v>30</v>
      </c>
      <c r="D498">
        <v>29</v>
      </c>
      <c r="E498">
        <v>80</v>
      </c>
      <c r="F498" t="b">
        <v>1</v>
      </c>
      <c r="G498">
        <v>43</v>
      </c>
      <c r="H498">
        <v>57.7</v>
      </c>
      <c r="I498">
        <v>36.9</v>
      </c>
      <c r="J498">
        <v>68.599999999999994</v>
      </c>
      <c r="K498">
        <v>51.55</v>
      </c>
      <c r="L498" t="s">
        <v>54</v>
      </c>
      <c r="M498">
        <v>6</v>
      </c>
      <c r="N498" t="s">
        <v>50</v>
      </c>
      <c r="O498">
        <v>21</v>
      </c>
      <c r="P498">
        <v>6</v>
      </c>
      <c r="Q498">
        <v>65</v>
      </c>
      <c r="R498" t="s">
        <v>35</v>
      </c>
      <c r="S498">
        <v>2</v>
      </c>
      <c r="T498" t="s">
        <v>31</v>
      </c>
      <c r="U498" t="s">
        <v>32</v>
      </c>
      <c r="V498">
        <v>0</v>
      </c>
      <c r="W498">
        <v>0</v>
      </c>
      <c r="X498">
        <v>0</v>
      </c>
      <c r="Y498">
        <v>6</v>
      </c>
      <c r="Z498" t="s">
        <v>37</v>
      </c>
    </row>
    <row r="499" spans="1:26" x14ac:dyDescent="0.3">
      <c r="A499" t="s">
        <v>161</v>
      </c>
      <c r="B499" t="s">
        <v>38</v>
      </c>
      <c r="C499">
        <v>24</v>
      </c>
      <c r="D499">
        <v>24</v>
      </c>
      <c r="E499">
        <v>66.666666666666657</v>
      </c>
      <c r="F499" t="b">
        <v>1</v>
      </c>
      <c r="G499">
        <v>64.7</v>
      </c>
      <c r="H499">
        <v>75.900000000000006</v>
      </c>
      <c r="I499">
        <v>62.5</v>
      </c>
      <c r="J499">
        <v>71.7</v>
      </c>
      <c r="K499">
        <v>68.7</v>
      </c>
      <c r="L499" t="s">
        <v>54</v>
      </c>
      <c r="M499">
        <v>6</v>
      </c>
      <c r="N499" t="s">
        <v>50</v>
      </c>
      <c r="O499">
        <v>16</v>
      </c>
      <c r="P499">
        <v>5</v>
      </c>
      <c r="Q499">
        <v>55</v>
      </c>
      <c r="R499" t="s">
        <v>30</v>
      </c>
      <c r="S499">
        <v>3</v>
      </c>
      <c r="T499" t="s">
        <v>39</v>
      </c>
      <c r="U499" t="s">
        <v>36</v>
      </c>
      <c r="V499">
        <v>1</v>
      </c>
      <c r="W499">
        <v>0</v>
      </c>
      <c r="X499">
        <v>0</v>
      </c>
      <c r="Y499">
        <v>5</v>
      </c>
      <c r="Z499" t="s">
        <v>37</v>
      </c>
    </row>
    <row r="500" spans="1:26" x14ac:dyDescent="0.3">
      <c r="A500" t="s">
        <v>161</v>
      </c>
      <c r="B500" t="s">
        <v>42</v>
      </c>
      <c r="C500">
        <v>24</v>
      </c>
      <c r="D500">
        <v>16</v>
      </c>
      <c r="E500">
        <v>83.333333333333343</v>
      </c>
      <c r="F500" t="b">
        <v>1</v>
      </c>
      <c r="G500">
        <v>20.5</v>
      </c>
      <c r="H500">
        <v>84.9</v>
      </c>
      <c r="I500">
        <v>98</v>
      </c>
      <c r="J500">
        <v>62.2</v>
      </c>
      <c r="K500">
        <v>66.400000000000006</v>
      </c>
      <c r="L500" t="s">
        <v>54</v>
      </c>
      <c r="M500">
        <v>6</v>
      </c>
      <c r="N500" t="s">
        <v>50</v>
      </c>
      <c r="O500">
        <v>27</v>
      </c>
      <c r="P500">
        <v>4</v>
      </c>
      <c r="Q500">
        <v>77</v>
      </c>
      <c r="R500" t="s">
        <v>43</v>
      </c>
      <c r="S500">
        <v>3</v>
      </c>
      <c r="T500" t="s">
        <v>44</v>
      </c>
      <c r="U500" t="s">
        <v>36</v>
      </c>
      <c r="V500">
        <v>0</v>
      </c>
      <c r="W500">
        <v>0</v>
      </c>
      <c r="X500">
        <v>0</v>
      </c>
      <c r="Y500">
        <v>4</v>
      </c>
      <c r="Z500" t="s">
        <v>37</v>
      </c>
    </row>
    <row r="501" spans="1:26" x14ac:dyDescent="0.3">
      <c r="A501" t="s">
        <v>162</v>
      </c>
      <c r="B501" t="s">
        <v>51</v>
      </c>
      <c r="C501">
        <v>38</v>
      </c>
      <c r="D501">
        <v>20</v>
      </c>
      <c r="E501">
        <v>55.26315789473685</v>
      </c>
      <c r="F501" t="b">
        <v>1</v>
      </c>
      <c r="G501">
        <v>63.8</v>
      </c>
      <c r="H501">
        <v>65.5</v>
      </c>
      <c r="I501">
        <v>56.9</v>
      </c>
      <c r="K501">
        <v>62.06666666666667</v>
      </c>
      <c r="L501" t="s">
        <v>28</v>
      </c>
      <c r="M501">
        <v>4</v>
      </c>
      <c r="N501" t="s">
        <v>50</v>
      </c>
      <c r="O501">
        <v>8</v>
      </c>
      <c r="P501">
        <v>9</v>
      </c>
      <c r="Q501">
        <v>36</v>
      </c>
      <c r="R501" t="s">
        <v>30</v>
      </c>
      <c r="S501">
        <v>3</v>
      </c>
      <c r="T501" t="s">
        <v>52</v>
      </c>
      <c r="U501" t="s">
        <v>36</v>
      </c>
      <c r="V501">
        <v>1</v>
      </c>
      <c r="W501">
        <v>0</v>
      </c>
      <c r="X501">
        <v>1</v>
      </c>
      <c r="Y501">
        <v>9</v>
      </c>
      <c r="Z501" t="s">
        <v>37</v>
      </c>
    </row>
    <row r="502" spans="1:26" x14ac:dyDescent="0.3">
      <c r="A502" t="s">
        <v>162</v>
      </c>
      <c r="B502" t="s">
        <v>34</v>
      </c>
      <c r="C502">
        <v>31</v>
      </c>
      <c r="D502">
        <v>21</v>
      </c>
      <c r="E502">
        <v>54.838709677419352</v>
      </c>
      <c r="F502" t="b">
        <v>1</v>
      </c>
      <c r="G502">
        <v>72.400000000000006</v>
      </c>
      <c r="H502">
        <v>73.3</v>
      </c>
      <c r="I502">
        <v>75.900000000000006</v>
      </c>
      <c r="J502">
        <v>73.900000000000006</v>
      </c>
      <c r="K502">
        <v>73.875</v>
      </c>
      <c r="L502" t="s">
        <v>28</v>
      </c>
      <c r="M502">
        <v>4</v>
      </c>
      <c r="N502" t="s">
        <v>50</v>
      </c>
      <c r="O502">
        <v>33</v>
      </c>
      <c r="P502">
        <v>9</v>
      </c>
      <c r="Q502">
        <v>81</v>
      </c>
      <c r="R502" t="s">
        <v>35</v>
      </c>
      <c r="S502">
        <v>2</v>
      </c>
      <c r="T502" t="s">
        <v>31</v>
      </c>
      <c r="U502" t="s">
        <v>36</v>
      </c>
      <c r="V502">
        <v>1</v>
      </c>
      <c r="W502">
        <v>0</v>
      </c>
      <c r="X502">
        <v>0</v>
      </c>
      <c r="Y502">
        <v>9</v>
      </c>
      <c r="Z502" t="s">
        <v>37</v>
      </c>
    </row>
    <row r="503" spans="1:26" x14ac:dyDescent="0.3">
      <c r="A503" t="s">
        <v>162</v>
      </c>
      <c r="B503" t="s">
        <v>38</v>
      </c>
      <c r="C503">
        <v>32</v>
      </c>
      <c r="D503">
        <v>17</v>
      </c>
      <c r="E503">
        <v>50</v>
      </c>
      <c r="F503" t="b">
        <v>1</v>
      </c>
      <c r="G503">
        <v>66.400000000000006</v>
      </c>
      <c r="H503">
        <v>72.900000000000006</v>
      </c>
      <c r="I503">
        <v>88.7</v>
      </c>
      <c r="J503">
        <v>83.6</v>
      </c>
      <c r="K503">
        <v>77.900000000000006</v>
      </c>
      <c r="L503" t="s">
        <v>28</v>
      </c>
      <c r="M503">
        <v>4</v>
      </c>
      <c r="N503" t="s">
        <v>50</v>
      </c>
      <c r="O503">
        <v>27</v>
      </c>
      <c r="P503">
        <v>9</v>
      </c>
      <c r="Q503">
        <v>65</v>
      </c>
      <c r="R503" t="s">
        <v>30</v>
      </c>
      <c r="S503">
        <v>3</v>
      </c>
      <c r="T503" t="s">
        <v>39</v>
      </c>
      <c r="U503" t="s">
        <v>56</v>
      </c>
      <c r="V503">
        <v>1</v>
      </c>
      <c r="W503">
        <v>0</v>
      </c>
      <c r="X503">
        <v>0</v>
      </c>
      <c r="Y503">
        <v>9</v>
      </c>
      <c r="Z503" t="s">
        <v>37</v>
      </c>
    </row>
    <row r="504" spans="1:26" x14ac:dyDescent="0.3">
      <c r="A504" t="s">
        <v>162</v>
      </c>
      <c r="B504" t="s">
        <v>40</v>
      </c>
      <c r="C504">
        <v>26</v>
      </c>
      <c r="D504">
        <v>16</v>
      </c>
      <c r="E504">
        <v>65.384615384615387</v>
      </c>
      <c r="F504" t="b">
        <v>1</v>
      </c>
      <c r="G504">
        <v>68</v>
      </c>
      <c r="H504">
        <v>31.3</v>
      </c>
      <c r="I504">
        <v>60.9</v>
      </c>
      <c r="J504">
        <v>87.7</v>
      </c>
      <c r="K504">
        <v>61.975000000000001</v>
      </c>
      <c r="L504" t="s">
        <v>28</v>
      </c>
      <c r="M504">
        <v>4</v>
      </c>
      <c r="N504" t="s">
        <v>50</v>
      </c>
      <c r="O504">
        <v>10</v>
      </c>
      <c r="P504">
        <v>8</v>
      </c>
      <c r="Q504">
        <v>38</v>
      </c>
      <c r="R504" t="s">
        <v>30</v>
      </c>
      <c r="S504">
        <v>3</v>
      </c>
      <c r="T504" t="s">
        <v>41</v>
      </c>
      <c r="U504" t="s">
        <v>36</v>
      </c>
      <c r="V504">
        <v>1</v>
      </c>
      <c r="W504">
        <v>0</v>
      </c>
      <c r="X504">
        <v>0</v>
      </c>
      <c r="Y504">
        <v>8</v>
      </c>
      <c r="Z504" t="s">
        <v>37</v>
      </c>
    </row>
    <row r="505" spans="1:26" x14ac:dyDescent="0.3">
      <c r="A505" t="s">
        <v>162</v>
      </c>
      <c r="B505" t="s">
        <v>42</v>
      </c>
      <c r="C505">
        <v>35</v>
      </c>
      <c r="D505">
        <v>17</v>
      </c>
      <c r="E505">
        <v>74.285714285714292</v>
      </c>
      <c r="F505" t="b">
        <v>1</v>
      </c>
      <c r="G505">
        <v>81.7</v>
      </c>
      <c r="H505">
        <v>60.1</v>
      </c>
      <c r="I505">
        <v>44.7</v>
      </c>
      <c r="J505">
        <v>57</v>
      </c>
      <c r="K505">
        <v>60.875</v>
      </c>
      <c r="L505" t="s">
        <v>28</v>
      </c>
      <c r="M505">
        <v>4</v>
      </c>
      <c r="N505" t="s">
        <v>50</v>
      </c>
      <c r="O505">
        <v>9</v>
      </c>
      <c r="P505">
        <v>12</v>
      </c>
      <c r="Q505">
        <v>49</v>
      </c>
      <c r="R505" t="s">
        <v>43</v>
      </c>
      <c r="S505">
        <v>3</v>
      </c>
      <c r="T505" t="s">
        <v>44</v>
      </c>
      <c r="U505" t="s">
        <v>36</v>
      </c>
      <c r="V505">
        <v>1</v>
      </c>
      <c r="W505">
        <v>0</v>
      </c>
      <c r="X505">
        <v>0</v>
      </c>
      <c r="Y505">
        <v>12</v>
      </c>
      <c r="Z505" t="s">
        <v>37</v>
      </c>
    </row>
    <row r="506" spans="1:26" x14ac:dyDescent="0.3">
      <c r="A506" t="s">
        <v>162</v>
      </c>
      <c r="B506" t="s">
        <v>45</v>
      </c>
      <c r="C506">
        <v>26</v>
      </c>
      <c r="D506">
        <v>26</v>
      </c>
      <c r="E506">
        <v>53.846153846153847</v>
      </c>
      <c r="F506" t="b">
        <v>1</v>
      </c>
      <c r="G506">
        <v>49</v>
      </c>
      <c r="H506">
        <v>68.8</v>
      </c>
      <c r="I506">
        <v>58.7</v>
      </c>
      <c r="J506">
        <v>59.5</v>
      </c>
      <c r="K506">
        <v>59</v>
      </c>
      <c r="L506" t="s">
        <v>28</v>
      </c>
      <c r="M506">
        <v>4</v>
      </c>
      <c r="N506" t="s">
        <v>50</v>
      </c>
      <c r="O506">
        <v>12</v>
      </c>
      <c r="P506">
        <v>9</v>
      </c>
      <c r="Q506">
        <v>51</v>
      </c>
      <c r="R506" t="s">
        <v>46</v>
      </c>
      <c r="S506">
        <v>4</v>
      </c>
      <c r="T506" t="s">
        <v>47</v>
      </c>
      <c r="U506" t="s">
        <v>32</v>
      </c>
      <c r="V506">
        <v>1</v>
      </c>
      <c r="W506">
        <v>0</v>
      </c>
      <c r="X506">
        <v>0</v>
      </c>
      <c r="Y506">
        <v>9</v>
      </c>
      <c r="Z506" t="s">
        <v>33</v>
      </c>
    </row>
    <row r="507" spans="1:26" x14ac:dyDescent="0.3">
      <c r="A507" t="s">
        <v>163</v>
      </c>
      <c r="B507" t="s">
        <v>51</v>
      </c>
      <c r="C507">
        <v>34</v>
      </c>
      <c r="D507">
        <v>14</v>
      </c>
      <c r="E507">
        <v>61.764705882352942</v>
      </c>
      <c r="F507" t="b">
        <v>1</v>
      </c>
      <c r="G507">
        <v>55.8</v>
      </c>
      <c r="H507">
        <v>32.200000000000003</v>
      </c>
      <c r="I507">
        <v>22.4</v>
      </c>
      <c r="J507">
        <v>45.7</v>
      </c>
      <c r="K507">
        <v>39.025000000000013</v>
      </c>
      <c r="L507" t="s">
        <v>28</v>
      </c>
      <c r="M507">
        <v>6</v>
      </c>
      <c r="N507" t="s">
        <v>50</v>
      </c>
      <c r="O507">
        <v>15</v>
      </c>
      <c r="P507">
        <v>8</v>
      </c>
      <c r="Q507">
        <v>50</v>
      </c>
      <c r="R507" t="s">
        <v>30</v>
      </c>
      <c r="S507">
        <v>3</v>
      </c>
      <c r="T507" t="s">
        <v>52</v>
      </c>
      <c r="U507" t="s">
        <v>68</v>
      </c>
      <c r="V507">
        <v>1</v>
      </c>
      <c r="W507">
        <v>0</v>
      </c>
      <c r="X507">
        <v>0</v>
      </c>
      <c r="Y507">
        <v>8</v>
      </c>
      <c r="Z507" t="s">
        <v>33</v>
      </c>
    </row>
    <row r="508" spans="1:26" x14ac:dyDescent="0.3">
      <c r="A508" t="s">
        <v>163</v>
      </c>
      <c r="B508" t="s">
        <v>34</v>
      </c>
      <c r="C508">
        <v>40</v>
      </c>
      <c r="D508">
        <v>21</v>
      </c>
      <c r="E508">
        <v>70</v>
      </c>
      <c r="F508" t="b">
        <v>1</v>
      </c>
      <c r="G508">
        <v>41.3</v>
      </c>
      <c r="H508">
        <v>34.9</v>
      </c>
      <c r="I508">
        <v>33.799999999999997</v>
      </c>
      <c r="J508">
        <v>48.3</v>
      </c>
      <c r="K508">
        <v>39.575000000000003</v>
      </c>
      <c r="L508" t="s">
        <v>28</v>
      </c>
      <c r="M508">
        <v>6</v>
      </c>
      <c r="N508" t="s">
        <v>50</v>
      </c>
      <c r="O508">
        <v>0</v>
      </c>
      <c r="P508">
        <v>12</v>
      </c>
      <c r="Q508">
        <v>25</v>
      </c>
      <c r="R508" t="s">
        <v>35</v>
      </c>
      <c r="S508">
        <v>2</v>
      </c>
      <c r="T508" t="s">
        <v>31</v>
      </c>
      <c r="U508" t="s">
        <v>68</v>
      </c>
      <c r="V508">
        <v>1</v>
      </c>
      <c r="W508">
        <v>1</v>
      </c>
      <c r="X508">
        <v>0</v>
      </c>
      <c r="Y508">
        <v>12</v>
      </c>
      <c r="Z508" t="s">
        <v>33</v>
      </c>
    </row>
    <row r="509" spans="1:26" x14ac:dyDescent="0.3">
      <c r="A509" t="s">
        <v>163</v>
      </c>
      <c r="B509" t="s">
        <v>38</v>
      </c>
      <c r="C509">
        <v>34</v>
      </c>
      <c r="D509">
        <v>28</v>
      </c>
      <c r="E509">
        <v>50</v>
      </c>
      <c r="F509" t="b">
        <v>1</v>
      </c>
      <c r="G509">
        <v>38.9</v>
      </c>
      <c r="I509">
        <v>6.5</v>
      </c>
      <c r="J509">
        <v>50.7</v>
      </c>
      <c r="K509">
        <v>32.033333333333331</v>
      </c>
      <c r="L509" t="s">
        <v>28</v>
      </c>
      <c r="M509">
        <v>6</v>
      </c>
      <c r="N509" t="s">
        <v>50</v>
      </c>
      <c r="O509">
        <v>19</v>
      </c>
      <c r="P509">
        <v>10</v>
      </c>
      <c r="Q509">
        <v>59</v>
      </c>
      <c r="R509" t="s">
        <v>30</v>
      </c>
      <c r="S509">
        <v>3</v>
      </c>
      <c r="T509" t="s">
        <v>39</v>
      </c>
      <c r="U509" t="s">
        <v>68</v>
      </c>
      <c r="V509">
        <v>1</v>
      </c>
      <c r="W509">
        <v>0</v>
      </c>
      <c r="X509">
        <v>1</v>
      </c>
      <c r="Y509">
        <v>10</v>
      </c>
      <c r="Z509" t="s">
        <v>33</v>
      </c>
    </row>
    <row r="510" spans="1:26" x14ac:dyDescent="0.3">
      <c r="A510" t="s">
        <v>163</v>
      </c>
      <c r="B510" t="s">
        <v>40</v>
      </c>
      <c r="C510">
        <v>25</v>
      </c>
      <c r="D510">
        <v>17</v>
      </c>
      <c r="E510">
        <v>48</v>
      </c>
      <c r="F510" t="b">
        <v>1</v>
      </c>
      <c r="G510">
        <v>48.2</v>
      </c>
      <c r="H510">
        <v>58.7</v>
      </c>
      <c r="I510">
        <v>43.6</v>
      </c>
      <c r="J510">
        <v>74.3</v>
      </c>
      <c r="K510">
        <v>56.2</v>
      </c>
      <c r="L510" t="s">
        <v>28</v>
      </c>
      <c r="M510">
        <v>6</v>
      </c>
      <c r="N510" t="s">
        <v>50</v>
      </c>
      <c r="O510">
        <v>14</v>
      </c>
      <c r="P510">
        <v>8</v>
      </c>
      <c r="Q510">
        <v>56</v>
      </c>
      <c r="R510" t="s">
        <v>30</v>
      </c>
      <c r="S510">
        <v>3</v>
      </c>
      <c r="T510" t="s">
        <v>41</v>
      </c>
      <c r="U510" t="s">
        <v>32</v>
      </c>
      <c r="V510">
        <v>1</v>
      </c>
      <c r="W510">
        <v>0</v>
      </c>
      <c r="X510">
        <v>0</v>
      </c>
      <c r="Y510">
        <v>8</v>
      </c>
      <c r="Z510" t="s">
        <v>33</v>
      </c>
    </row>
    <row r="511" spans="1:26" x14ac:dyDescent="0.3">
      <c r="A511" t="s">
        <v>163</v>
      </c>
      <c r="B511" t="s">
        <v>57</v>
      </c>
      <c r="C511">
        <v>33</v>
      </c>
      <c r="D511">
        <v>12</v>
      </c>
      <c r="E511">
        <v>54.54545454545454</v>
      </c>
      <c r="F511" t="b">
        <v>1</v>
      </c>
      <c r="G511">
        <v>78.8</v>
      </c>
      <c r="H511">
        <v>56.5</v>
      </c>
      <c r="I511">
        <v>48</v>
      </c>
      <c r="J511">
        <v>56.9</v>
      </c>
      <c r="K511">
        <v>60.05</v>
      </c>
      <c r="L511" t="s">
        <v>28</v>
      </c>
      <c r="M511">
        <v>6</v>
      </c>
      <c r="N511" t="s">
        <v>50</v>
      </c>
      <c r="O511">
        <v>22</v>
      </c>
      <c r="P511">
        <v>6</v>
      </c>
      <c r="Q511">
        <v>57</v>
      </c>
      <c r="R511" t="s">
        <v>30</v>
      </c>
      <c r="S511">
        <v>4</v>
      </c>
      <c r="T511" t="s">
        <v>58</v>
      </c>
      <c r="U511" t="s">
        <v>36</v>
      </c>
      <c r="V511">
        <v>1</v>
      </c>
      <c r="W511">
        <v>0</v>
      </c>
      <c r="X511">
        <v>0</v>
      </c>
      <c r="Y511">
        <v>6</v>
      </c>
      <c r="Z511" t="s">
        <v>37</v>
      </c>
    </row>
    <row r="512" spans="1:26" x14ac:dyDescent="0.3">
      <c r="A512" t="s">
        <v>163</v>
      </c>
      <c r="B512" t="s">
        <v>42</v>
      </c>
      <c r="C512">
        <v>28</v>
      </c>
      <c r="D512">
        <v>18</v>
      </c>
      <c r="E512">
        <v>35.714285714285722</v>
      </c>
      <c r="F512" t="b">
        <v>1</v>
      </c>
      <c r="G512">
        <v>30.6</v>
      </c>
      <c r="H512">
        <v>41.3</v>
      </c>
      <c r="I512">
        <v>59.6</v>
      </c>
      <c r="J512">
        <v>48.7</v>
      </c>
      <c r="K512">
        <v>45.05</v>
      </c>
      <c r="L512" t="s">
        <v>28</v>
      </c>
      <c r="M512">
        <v>6</v>
      </c>
      <c r="N512" t="s">
        <v>50</v>
      </c>
      <c r="O512">
        <v>9</v>
      </c>
      <c r="P512">
        <v>6</v>
      </c>
      <c r="Q512">
        <v>49</v>
      </c>
      <c r="R512" t="s">
        <v>43</v>
      </c>
      <c r="S512">
        <v>3</v>
      </c>
      <c r="T512" t="s">
        <v>44</v>
      </c>
      <c r="U512" t="s">
        <v>32</v>
      </c>
      <c r="V512">
        <v>1</v>
      </c>
      <c r="W512">
        <v>0</v>
      </c>
      <c r="X512">
        <v>0</v>
      </c>
      <c r="Y512">
        <v>6</v>
      </c>
      <c r="Z512" t="s">
        <v>33</v>
      </c>
    </row>
    <row r="513" spans="1:26" x14ac:dyDescent="0.3">
      <c r="A513" t="s">
        <v>164</v>
      </c>
      <c r="B513" t="s">
        <v>27</v>
      </c>
      <c r="C513">
        <v>32</v>
      </c>
      <c r="D513">
        <v>10</v>
      </c>
      <c r="E513">
        <v>62.5</v>
      </c>
      <c r="F513" t="b">
        <v>1</v>
      </c>
      <c r="G513">
        <v>77.8</v>
      </c>
      <c r="H513">
        <v>90.4</v>
      </c>
      <c r="I513">
        <v>83.8</v>
      </c>
      <c r="J513">
        <v>84.6</v>
      </c>
      <c r="K513">
        <v>84.15</v>
      </c>
      <c r="L513" t="s">
        <v>49</v>
      </c>
      <c r="M513">
        <v>3</v>
      </c>
      <c r="N513" t="s">
        <v>29</v>
      </c>
      <c r="O513">
        <v>12</v>
      </c>
      <c r="P513">
        <v>10</v>
      </c>
      <c r="Q513">
        <v>40</v>
      </c>
      <c r="R513" t="s">
        <v>30</v>
      </c>
      <c r="S513">
        <v>4</v>
      </c>
      <c r="T513" t="s">
        <v>31</v>
      </c>
      <c r="U513" t="s">
        <v>56</v>
      </c>
      <c r="V513">
        <v>1</v>
      </c>
      <c r="W513">
        <v>0</v>
      </c>
      <c r="X513">
        <v>0</v>
      </c>
      <c r="Y513">
        <v>10</v>
      </c>
      <c r="Z513" t="s">
        <v>37</v>
      </c>
    </row>
    <row r="514" spans="1:26" x14ac:dyDescent="0.3">
      <c r="A514" t="s">
        <v>164</v>
      </c>
      <c r="B514" t="s">
        <v>51</v>
      </c>
      <c r="C514">
        <v>34</v>
      </c>
      <c r="D514">
        <v>20</v>
      </c>
      <c r="E514">
        <v>64.705882352941174</v>
      </c>
      <c r="F514" t="b">
        <v>1</v>
      </c>
      <c r="G514">
        <v>71.400000000000006</v>
      </c>
      <c r="H514">
        <v>89.8</v>
      </c>
      <c r="I514">
        <v>72.099999999999994</v>
      </c>
      <c r="J514">
        <v>75.099999999999994</v>
      </c>
      <c r="K514">
        <v>77.099999999999994</v>
      </c>
      <c r="L514" t="s">
        <v>49</v>
      </c>
      <c r="M514">
        <v>3</v>
      </c>
      <c r="N514" t="s">
        <v>29</v>
      </c>
      <c r="O514">
        <v>22</v>
      </c>
      <c r="P514">
        <v>12</v>
      </c>
      <c r="Q514">
        <v>57</v>
      </c>
      <c r="R514" t="s">
        <v>30</v>
      </c>
      <c r="S514">
        <v>3</v>
      </c>
      <c r="T514" t="s">
        <v>52</v>
      </c>
      <c r="U514" t="s">
        <v>56</v>
      </c>
      <c r="V514">
        <v>1</v>
      </c>
      <c r="W514">
        <v>0</v>
      </c>
      <c r="X514">
        <v>0</v>
      </c>
      <c r="Y514">
        <v>12</v>
      </c>
      <c r="Z514" t="s">
        <v>37</v>
      </c>
    </row>
    <row r="515" spans="1:26" x14ac:dyDescent="0.3">
      <c r="A515" t="s">
        <v>164</v>
      </c>
      <c r="B515" t="s">
        <v>38</v>
      </c>
      <c r="C515">
        <v>31</v>
      </c>
      <c r="D515">
        <v>22</v>
      </c>
      <c r="E515">
        <v>45.161290322580641</v>
      </c>
      <c r="F515" t="b">
        <v>1</v>
      </c>
      <c r="H515">
        <v>100</v>
      </c>
      <c r="J515">
        <v>84.3</v>
      </c>
      <c r="K515">
        <v>92.15</v>
      </c>
      <c r="L515" t="s">
        <v>49</v>
      </c>
      <c r="M515">
        <v>3</v>
      </c>
      <c r="N515" t="s">
        <v>29</v>
      </c>
      <c r="O515">
        <v>12</v>
      </c>
      <c r="P515">
        <v>10</v>
      </c>
      <c r="Q515">
        <v>43</v>
      </c>
      <c r="R515" t="s">
        <v>30</v>
      </c>
      <c r="S515">
        <v>3</v>
      </c>
      <c r="T515" t="s">
        <v>39</v>
      </c>
      <c r="U515" t="s">
        <v>56</v>
      </c>
      <c r="V515">
        <v>1</v>
      </c>
      <c r="W515">
        <v>0</v>
      </c>
      <c r="X515">
        <v>2</v>
      </c>
      <c r="Y515">
        <v>10</v>
      </c>
      <c r="Z515" t="s">
        <v>37</v>
      </c>
    </row>
    <row r="516" spans="1:26" x14ac:dyDescent="0.3">
      <c r="A516" t="s">
        <v>164</v>
      </c>
      <c r="B516" t="s">
        <v>40</v>
      </c>
      <c r="C516">
        <v>28</v>
      </c>
      <c r="D516">
        <v>14</v>
      </c>
      <c r="E516">
        <v>64.285714285714292</v>
      </c>
      <c r="F516" t="b">
        <v>1</v>
      </c>
      <c r="G516">
        <v>73</v>
      </c>
      <c r="H516">
        <v>74.2</v>
      </c>
      <c r="I516">
        <v>58.7</v>
      </c>
      <c r="J516">
        <v>98.9</v>
      </c>
      <c r="K516">
        <v>76.199999999999989</v>
      </c>
      <c r="L516" t="s">
        <v>49</v>
      </c>
      <c r="M516">
        <v>3</v>
      </c>
      <c r="N516" t="s">
        <v>29</v>
      </c>
      <c r="O516">
        <v>21</v>
      </c>
      <c r="P516">
        <v>11</v>
      </c>
      <c r="Q516">
        <v>66</v>
      </c>
      <c r="R516" t="s">
        <v>30</v>
      </c>
      <c r="S516">
        <v>3</v>
      </c>
      <c r="T516" t="s">
        <v>41</v>
      </c>
      <c r="U516" t="s">
        <v>56</v>
      </c>
      <c r="V516">
        <v>1</v>
      </c>
      <c r="W516">
        <v>0</v>
      </c>
      <c r="X516">
        <v>0</v>
      </c>
      <c r="Y516">
        <v>11</v>
      </c>
      <c r="Z516" t="s">
        <v>37</v>
      </c>
    </row>
    <row r="517" spans="1:26" x14ac:dyDescent="0.3">
      <c r="A517" t="s">
        <v>164</v>
      </c>
      <c r="B517" t="s">
        <v>42</v>
      </c>
      <c r="C517">
        <v>30</v>
      </c>
      <c r="D517">
        <v>18</v>
      </c>
      <c r="E517">
        <v>66.666666666666657</v>
      </c>
      <c r="F517" t="b">
        <v>1</v>
      </c>
      <c r="G517">
        <v>80.900000000000006</v>
      </c>
      <c r="H517">
        <v>67</v>
      </c>
      <c r="I517">
        <v>67.3</v>
      </c>
      <c r="J517">
        <v>63.9</v>
      </c>
      <c r="K517">
        <v>69.774999999999991</v>
      </c>
      <c r="L517" t="s">
        <v>49</v>
      </c>
      <c r="M517">
        <v>3</v>
      </c>
      <c r="N517" t="s">
        <v>29</v>
      </c>
      <c r="O517">
        <v>16</v>
      </c>
      <c r="P517">
        <v>9</v>
      </c>
      <c r="Q517">
        <v>49</v>
      </c>
      <c r="R517" t="s">
        <v>43</v>
      </c>
      <c r="S517">
        <v>3</v>
      </c>
      <c r="T517" t="s">
        <v>44</v>
      </c>
      <c r="U517" t="s">
        <v>36</v>
      </c>
      <c r="V517">
        <v>1</v>
      </c>
      <c r="W517">
        <v>0</v>
      </c>
      <c r="X517">
        <v>0</v>
      </c>
      <c r="Y517">
        <v>9</v>
      </c>
      <c r="Z517" t="s">
        <v>37</v>
      </c>
    </row>
    <row r="518" spans="1:26" x14ac:dyDescent="0.3">
      <c r="A518" t="s">
        <v>165</v>
      </c>
      <c r="B518" t="s">
        <v>51</v>
      </c>
      <c r="C518">
        <v>30</v>
      </c>
      <c r="D518">
        <v>20</v>
      </c>
      <c r="E518">
        <v>73.333333333333329</v>
      </c>
      <c r="F518" t="b">
        <v>1</v>
      </c>
      <c r="G518">
        <v>83.2</v>
      </c>
      <c r="H518">
        <v>86.8</v>
      </c>
      <c r="I518">
        <v>78.099999999999994</v>
      </c>
      <c r="J518">
        <v>65</v>
      </c>
      <c r="K518">
        <v>78.275000000000006</v>
      </c>
      <c r="L518" t="s">
        <v>61</v>
      </c>
      <c r="M518">
        <v>5</v>
      </c>
      <c r="N518" t="s">
        <v>55</v>
      </c>
      <c r="O518">
        <v>15</v>
      </c>
      <c r="P518">
        <v>9</v>
      </c>
      <c r="Q518">
        <v>54</v>
      </c>
      <c r="R518" t="s">
        <v>30</v>
      </c>
      <c r="S518">
        <v>3</v>
      </c>
      <c r="T518" t="s">
        <v>52</v>
      </c>
      <c r="U518" t="s">
        <v>56</v>
      </c>
      <c r="V518">
        <v>1</v>
      </c>
      <c r="W518">
        <v>0</v>
      </c>
      <c r="X518">
        <v>0</v>
      </c>
      <c r="Y518">
        <v>9</v>
      </c>
      <c r="Z518" t="s">
        <v>37</v>
      </c>
    </row>
    <row r="519" spans="1:26" x14ac:dyDescent="0.3">
      <c r="A519" t="s">
        <v>165</v>
      </c>
      <c r="B519" t="s">
        <v>57</v>
      </c>
      <c r="C519">
        <v>30</v>
      </c>
      <c r="D519">
        <v>22</v>
      </c>
      <c r="E519">
        <v>83.333333333333343</v>
      </c>
      <c r="F519" t="b">
        <v>1</v>
      </c>
      <c r="G519">
        <v>97.8</v>
      </c>
      <c r="H519">
        <v>80.3</v>
      </c>
      <c r="I519">
        <v>100</v>
      </c>
      <c r="J519">
        <v>82.1</v>
      </c>
      <c r="K519">
        <v>90.050000000000011</v>
      </c>
      <c r="L519" t="s">
        <v>61</v>
      </c>
      <c r="M519">
        <v>5</v>
      </c>
      <c r="N519" t="s">
        <v>55</v>
      </c>
      <c r="O519">
        <v>20</v>
      </c>
      <c r="P519">
        <v>7</v>
      </c>
      <c r="Q519">
        <v>66</v>
      </c>
      <c r="R519" t="s">
        <v>30</v>
      </c>
      <c r="S519">
        <v>4</v>
      </c>
      <c r="T519" t="s">
        <v>58</v>
      </c>
      <c r="U519" t="s">
        <v>56</v>
      </c>
      <c r="V519">
        <v>0</v>
      </c>
      <c r="W519">
        <v>0</v>
      </c>
      <c r="X519">
        <v>0</v>
      </c>
      <c r="Y519">
        <v>7</v>
      </c>
      <c r="Z519" t="s">
        <v>37</v>
      </c>
    </row>
    <row r="520" spans="1:26" x14ac:dyDescent="0.3">
      <c r="A520" t="s">
        <v>165</v>
      </c>
      <c r="B520" t="s">
        <v>42</v>
      </c>
      <c r="C520">
        <v>40</v>
      </c>
      <c r="D520">
        <v>25</v>
      </c>
      <c r="E520">
        <v>57.499999999999993</v>
      </c>
      <c r="F520" t="b">
        <v>1</v>
      </c>
      <c r="G520">
        <v>91.5</v>
      </c>
      <c r="H520">
        <v>94</v>
      </c>
      <c r="J520">
        <v>84.2</v>
      </c>
      <c r="K520">
        <v>89.899999999999991</v>
      </c>
      <c r="L520" t="s">
        <v>61</v>
      </c>
      <c r="M520">
        <v>5</v>
      </c>
      <c r="N520" t="s">
        <v>55</v>
      </c>
      <c r="O520">
        <v>17</v>
      </c>
      <c r="P520">
        <v>11</v>
      </c>
      <c r="Q520">
        <v>65</v>
      </c>
      <c r="R520" t="s">
        <v>43</v>
      </c>
      <c r="S520">
        <v>3</v>
      </c>
      <c r="T520" t="s">
        <v>44</v>
      </c>
      <c r="U520" t="s">
        <v>56</v>
      </c>
      <c r="V520">
        <v>1</v>
      </c>
      <c r="W520">
        <v>0</v>
      </c>
      <c r="X520">
        <v>1</v>
      </c>
      <c r="Y520">
        <v>11</v>
      </c>
      <c r="Z520" t="s">
        <v>37</v>
      </c>
    </row>
    <row r="521" spans="1:26" x14ac:dyDescent="0.3">
      <c r="A521" t="s">
        <v>165</v>
      </c>
      <c r="B521" t="s">
        <v>45</v>
      </c>
      <c r="C521">
        <v>25</v>
      </c>
      <c r="D521">
        <v>23</v>
      </c>
      <c r="E521">
        <v>80</v>
      </c>
      <c r="F521" t="b">
        <v>1</v>
      </c>
      <c r="G521">
        <v>92.2</v>
      </c>
      <c r="H521">
        <v>94.9</v>
      </c>
      <c r="I521">
        <v>61.3</v>
      </c>
      <c r="J521">
        <v>89.2</v>
      </c>
      <c r="K521">
        <v>84.4</v>
      </c>
      <c r="L521" t="s">
        <v>61</v>
      </c>
      <c r="M521">
        <v>5</v>
      </c>
      <c r="N521" t="s">
        <v>55</v>
      </c>
      <c r="O521">
        <v>16</v>
      </c>
      <c r="P521">
        <v>6</v>
      </c>
      <c r="Q521">
        <v>46</v>
      </c>
      <c r="R521" t="s">
        <v>46</v>
      </c>
      <c r="S521">
        <v>4</v>
      </c>
      <c r="T521" t="s">
        <v>47</v>
      </c>
      <c r="U521" t="s">
        <v>56</v>
      </c>
      <c r="V521">
        <v>0</v>
      </c>
      <c r="W521">
        <v>0</v>
      </c>
      <c r="X521">
        <v>0</v>
      </c>
      <c r="Y521">
        <v>6</v>
      </c>
      <c r="Z521" t="s">
        <v>37</v>
      </c>
    </row>
    <row r="522" spans="1:26" x14ac:dyDescent="0.3">
      <c r="A522" t="s">
        <v>166</v>
      </c>
      <c r="B522" t="s">
        <v>27</v>
      </c>
      <c r="C522">
        <v>30</v>
      </c>
      <c r="D522">
        <v>20</v>
      </c>
      <c r="E522">
        <v>86.666666666666671</v>
      </c>
      <c r="F522" t="b">
        <v>1</v>
      </c>
      <c r="G522">
        <v>94</v>
      </c>
      <c r="H522">
        <v>85</v>
      </c>
      <c r="I522">
        <v>74.7</v>
      </c>
      <c r="J522">
        <v>92</v>
      </c>
      <c r="K522">
        <v>86.424999999999997</v>
      </c>
      <c r="L522" t="s">
        <v>61</v>
      </c>
      <c r="M522">
        <v>5</v>
      </c>
      <c r="N522" t="s">
        <v>50</v>
      </c>
      <c r="O522">
        <v>28</v>
      </c>
      <c r="P522">
        <v>10</v>
      </c>
      <c r="Q522">
        <v>74</v>
      </c>
      <c r="R522" t="s">
        <v>30</v>
      </c>
      <c r="S522">
        <v>4</v>
      </c>
      <c r="T522" t="s">
        <v>31</v>
      </c>
      <c r="U522" t="s">
        <v>56</v>
      </c>
      <c r="V522">
        <v>0</v>
      </c>
      <c r="W522">
        <v>0</v>
      </c>
      <c r="X522">
        <v>0</v>
      </c>
      <c r="Y522">
        <v>10</v>
      </c>
      <c r="Z522" t="s">
        <v>37</v>
      </c>
    </row>
    <row r="523" spans="1:26" x14ac:dyDescent="0.3">
      <c r="A523" t="s">
        <v>166</v>
      </c>
      <c r="B523" t="s">
        <v>38</v>
      </c>
      <c r="C523">
        <v>28</v>
      </c>
      <c r="D523">
        <v>26</v>
      </c>
      <c r="E523">
        <v>60.714285714285708</v>
      </c>
      <c r="F523" t="b">
        <v>1</v>
      </c>
      <c r="G523">
        <v>100</v>
      </c>
      <c r="H523">
        <v>71.3</v>
      </c>
      <c r="I523">
        <v>58.7</v>
      </c>
      <c r="J523">
        <v>76.7</v>
      </c>
      <c r="K523">
        <v>76.674999999999997</v>
      </c>
      <c r="L523" t="s">
        <v>61</v>
      </c>
      <c r="M523">
        <v>5</v>
      </c>
      <c r="N523" t="s">
        <v>50</v>
      </c>
      <c r="O523">
        <v>17</v>
      </c>
      <c r="P523">
        <v>11</v>
      </c>
      <c r="Q523">
        <v>56</v>
      </c>
      <c r="R523" t="s">
        <v>30</v>
      </c>
      <c r="S523">
        <v>3</v>
      </c>
      <c r="T523" t="s">
        <v>39</v>
      </c>
      <c r="U523" t="s">
        <v>56</v>
      </c>
      <c r="V523">
        <v>1</v>
      </c>
      <c r="W523">
        <v>0</v>
      </c>
      <c r="X523">
        <v>0</v>
      </c>
      <c r="Y523">
        <v>11</v>
      </c>
      <c r="Z523" t="s">
        <v>37</v>
      </c>
    </row>
    <row r="524" spans="1:26" x14ac:dyDescent="0.3">
      <c r="A524" t="s">
        <v>166</v>
      </c>
      <c r="B524" t="s">
        <v>40</v>
      </c>
      <c r="C524">
        <v>24</v>
      </c>
      <c r="D524">
        <v>17</v>
      </c>
      <c r="E524">
        <v>87.5</v>
      </c>
      <c r="F524" t="b">
        <v>1</v>
      </c>
      <c r="G524">
        <v>77.7</v>
      </c>
      <c r="H524">
        <v>74.3</v>
      </c>
      <c r="I524">
        <v>76.2</v>
      </c>
      <c r="J524">
        <v>80.599999999999994</v>
      </c>
      <c r="K524">
        <v>77.199999999999989</v>
      </c>
      <c r="L524" t="s">
        <v>61</v>
      </c>
      <c r="M524">
        <v>5</v>
      </c>
      <c r="N524" t="s">
        <v>50</v>
      </c>
      <c r="O524">
        <v>20</v>
      </c>
      <c r="P524">
        <v>9</v>
      </c>
      <c r="Q524">
        <v>60</v>
      </c>
      <c r="R524" t="s">
        <v>30</v>
      </c>
      <c r="S524">
        <v>3</v>
      </c>
      <c r="T524" t="s">
        <v>41</v>
      </c>
      <c r="U524" t="s">
        <v>56</v>
      </c>
      <c r="V524">
        <v>0</v>
      </c>
      <c r="W524">
        <v>0</v>
      </c>
      <c r="X524">
        <v>0</v>
      </c>
      <c r="Y524">
        <v>9</v>
      </c>
      <c r="Z524" t="s">
        <v>37</v>
      </c>
    </row>
    <row r="525" spans="1:26" x14ac:dyDescent="0.3">
      <c r="A525" t="s">
        <v>166</v>
      </c>
      <c r="B525" t="s">
        <v>42</v>
      </c>
      <c r="C525">
        <v>37</v>
      </c>
      <c r="D525">
        <v>21</v>
      </c>
      <c r="E525">
        <v>62.162162162162161</v>
      </c>
      <c r="F525" t="b">
        <v>1</v>
      </c>
      <c r="G525">
        <v>70.599999999999994</v>
      </c>
      <c r="H525">
        <v>91.2</v>
      </c>
      <c r="I525">
        <v>63.6</v>
      </c>
      <c r="J525">
        <v>76.400000000000006</v>
      </c>
      <c r="K525">
        <v>75.45</v>
      </c>
      <c r="L525" t="s">
        <v>61</v>
      </c>
      <c r="M525">
        <v>5</v>
      </c>
      <c r="N525" t="s">
        <v>50</v>
      </c>
      <c r="O525">
        <v>13</v>
      </c>
      <c r="P525">
        <v>10</v>
      </c>
      <c r="Q525">
        <v>56</v>
      </c>
      <c r="R525" t="s">
        <v>43</v>
      </c>
      <c r="S525">
        <v>3</v>
      </c>
      <c r="T525" t="s">
        <v>44</v>
      </c>
      <c r="U525" t="s">
        <v>56</v>
      </c>
      <c r="V525">
        <v>1</v>
      </c>
      <c r="W525">
        <v>0</v>
      </c>
      <c r="X525">
        <v>0</v>
      </c>
      <c r="Y525">
        <v>10</v>
      </c>
      <c r="Z525" t="s">
        <v>37</v>
      </c>
    </row>
    <row r="526" spans="1:26" x14ac:dyDescent="0.3">
      <c r="A526" t="s">
        <v>167</v>
      </c>
      <c r="B526" t="s">
        <v>27</v>
      </c>
      <c r="C526">
        <v>28</v>
      </c>
      <c r="D526">
        <v>23</v>
      </c>
      <c r="E526">
        <v>64.285714285714292</v>
      </c>
      <c r="F526" t="b">
        <v>1</v>
      </c>
      <c r="G526">
        <v>91.4</v>
      </c>
      <c r="H526">
        <v>73.8</v>
      </c>
      <c r="I526">
        <v>73.599999999999994</v>
      </c>
      <c r="J526">
        <v>84.9</v>
      </c>
      <c r="K526">
        <v>80.924999999999997</v>
      </c>
      <c r="L526" t="s">
        <v>54</v>
      </c>
      <c r="M526">
        <v>3</v>
      </c>
      <c r="N526" t="s">
        <v>55</v>
      </c>
      <c r="O526">
        <v>25</v>
      </c>
      <c r="P526">
        <v>10</v>
      </c>
      <c r="Q526">
        <v>67</v>
      </c>
      <c r="R526" t="s">
        <v>30</v>
      </c>
      <c r="S526">
        <v>4</v>
      </c>
      <c r="T526" t="s">
        <v>31</v>
      </c>
      <c r="U526" t="s">
        <v>56</v>
      </c>
      <c r="V526">
        <v>1</v>
      </c>
      <c r="W526">
        <v>0</v>
      </c>
      <c r="X526">
        <v>0</v>
      </c>
      <c r="Y526">
        <v>10</v>
      </c>
      <c r="Z526" t="s">
        <v>37</v>
      </c>
    </row>
    <row r="527" spans="1:26" x14ac:dyDescent="0.3">
      <c r="A527" t="s">
        <v>167</v>
      </c>
      <c r="B527" t="s">
        <v>51</v>
      </c>
      <c r="C527">
        <v>32</v>
      </c>
      <c r="D527">
        <v>18</v>
      </c>
      <c r="E527">
        <v>68.75</v>
      </c>
      <c r="F527" t="b">
        <v>1</v>
      </c>
      <c r="G527">
        <v>67.8</v>
      </c>
      <c r="H527">
        <v>62.1</v>
      </c>
      <c r="I527">
        <v>75.099999999999994</v>
      </c>
      <c r="J527">
        <v>60.2</v>
      </c>
      <c r="K527">
        <v>66.3</v>
      </c>
      <c r="L527" t="s">
        <v>54</v>
      </c>
      <c r="M527">
        <v>3</v>
      </c>
      <c r="N527" t="s">
        <v>55</v>
      </c>
      <c r="O527">
        <v>24</v>
      </c>
      <c r="P527">
        <v>8</v>
      </c>
      <c r="Q527">
        <v>51</v>
      </c>
      <c r="R527" t="s">
        <v>30</v>
      </c>
      <c r="S527">
        <v>3</v>
      </c>
      <c r="T527" t="s">
        <v>52</v>
      </c>
      <c r="U527" t="s">
        <v>36</v>
      </c>
      <c r="V527">
        <v>1</v>
      </c>
      <c r="W527">
        <v>0</v>
      </c>
      <c r="X527">
        <v>0</v>
      </c>
      <c r="Y527">
        <v>8</v>
      </c>
      <c r="Z527" t="s">
        <v>37</v>
      </c>
    </row>
    <row r="528" spans="1:26" x14ac:dyDescent="0.3">
      <c r="A528" t="s">
        <v>167</v>
      </c>
      <c r="B528" t="s">
        <v>40</v>
      </c>
      <c r="C528">
        <v>34</v>
      </c>
      <c r="D528">
        <v>22</v>
      </c>
      <c r="E528">
        <v>44.117647058823529</v>
      </c>
      <c r="F528" t="b">
        <v>1</v>
      </c>
      <c r="G528">
        <v>48</v>
      </c>
      <c r="H528">
        <v>74.099999999999994</v>
      </c>
      <c r="I528">
        <v>62.9</v>
      </c>
      <c r="J528">
        <v>73.900000000000006</v>
      </c>
      <c r="K528">
        <v>64.724999999999994</v>
      </c>
      <c r="L528" t="s">
        <v>54</v>
      </c>
      <c r="M528">
        <v>3</v>
      </c>
      <c r="N528" t="s">
        <v>55</v>
      </c>
      <c r="O528">
        <v>7</v>
      </c>
      <c r="P528">
        <v>6</v>
      </c>
      <c r="Q528">
        <v>39</v>
      </c>
      <c r="R528" t="s">
        <v>30</v>
      </c>
      <c r="S528">
        <v>3</v>
      </c>
      <c r="T528" t="s">
        <v>41</v>
      </c>
      <c r="U528" t="s">
        <v>36</v>
      </c>
      <c r="V528">
        <v>1</v>
      </c>
      <c r="W528">
        <v>0</v>
      </c>
      <c r="X528">
        <v>0</v>
      </c>
      <c r="Y528">
        <v>6</v>
      </c>
      <c r="Z528" t="s">
        <v>37</v>
      </c>
    </row>
    <row r="529" spans="1:26" x14ac:dyDescent="0.3">
      <c r="A529" t="s">
        <v>167</v>
      </c>
      <c r="B529" t="s">
        <v>42</v>
      </c>
      <c r="C529">
        <v>32</v>
      </c>
      <c r="D529">
        <v>15</v>
      </c>
      <c r="E529">
        <v>81.25</v>
      </c>
      <c r="F529" t="b">
        <v>1</v>
      </c>
      <c r="G529">
        <v>68.2</v>
      </c>
      <c r="H529">
        <v>54.2</v>
      </c>
      <c r="I529">
        <v>70.8</v>
      </c>
      <c r="J529">
        <v>94</v>
      </c>
      <c r="K529">
        <v>71.8</v>
      </c>
      <c r="L529" t="s">
        <v>54</v>
      </c>
      <c r="M529">
        <v>3</v>
      </c>
      <c r="N529" t="s">
        <v>55</v>
      </c>
      <c r="O529">
        <v>8</v>
      </c>
      <c r="P529">
        <v>10</v>
      </c>
      <c r="Q529">
        <v>18</v>
      </c>
      <c r="R529" t="s">
        <v>43</v>
      </c>
      <c r="S529">
        <v>3</v>
      </c>
      <c r="T529" t="s">
        <v>44</v>
      </c>
      <c r="U529" t="s">
        <v>36</v>
      </c>
      <c r="V529">
        <v>0</v>
      </c>
      <c r="W529">
        <v>0</v>
      </c>
      <c r="X529">
        <v>0</v>
      </c>
      <c r="Y529">
        <v>10</v>
      </c>
      <c r="Z529" t="s">
        <v>37</v>
      </c>
    </row>
    <row r="530" spans="1:26" x14ac:dyDescent="0.3">
      <c r="A530" t="s">
        <v>168</v>
      </c>
      <c r="B530" t="s">
        <v>27</v>
      </c>
      <c r="C530">
        <v>33</v>
      </c>
      <c r="D530">
        <v>26</v>
      </c>
      <c r="E530">
        <v>54.54545454545454</v>
      </c>
      <c r="F530" t="b">
        <v>1</v>
      </c>
      <c r="G530">
        <v>40.200000000000003</v>
      </c>
      <c r="H530">
        <v>75.099999999999994</v>
      </c>
      <c r="I530">
        <v>87.3</v>
      </c>
      <c r="J530">
        <v>86.6</v>
      </c>
      <c r="K530">
        <v>72.3</v>
      </c>
      <c r="L530" t="s">
        <v>49</v>
      </c>
      <c r="M530">
        <v>3</v>
      </c>
      <c r="N530" t="s">
        <v>50</v>
      </c>
      <c r="O530">
        <v>19</v>
      </c>
      <c r="P530">
        <v>8</v>
      </c>
      <c r="Q530">
        <v>48</v>
      </c>
      <c r="R530" t="s">
        <v>30</v>
      </c>
      <c r="S530">
        <v>4</v>
      </c>
      <c r="T530" t="s">
        <v>31</v>
      </c>
      <c r="U530" t="s">
        <v>36</v>
      </c>
      <c r="V530">
        <v>1</v>
      </c>
      <c r="W530">
        <v>0</v>
      </c>
      <c r="X530">
        <v>0</v>
      </c>
      <c r="Y530">
        <v>8</v>
      </c>
      <c r="Z530" t="s">
        <v>37</v>
      </c>
    </row>
    <row r="531" spans="1:26" x14ac:dyDescent="0.3">
      <c r="A531" t="s">
        <v>168</v>
      </c>
      <c r="B531" t="s">
        <v>34</v>
      </c>
      <c r="C531">
        <v>35</v>
      </c>
      <c r="D531">
        <v>18</v>
      </c>
      <c r="E531">
        <v>42.857142857142847</v>
      </c>
      <c r="F531" t="b">
        <v>1</v>
      </c>
      <c r="G531">
        <v>76.599999999999994</v>
      </c>
      <c r="H531">
        <v>61.6</v>
      </c>
      <c r="I531">
        <v>66.5</v>
      </c>
      <c r="J531">
        <v>43.3</v>
      </c>
      <c r="K531">
        <v>62</v>
      </c>
      <c r="L531" t="s">
        <v>49</v>
      </c>
      <c r="M531">
        <v>3</v>
      </c>
      <c r="N531" t="s">
        <v>50</v>
      </c>
      <c r="O531">
        <v>19</v>
      </c>
      <c r="P531">
        <v>8</v>
      </c>
      <c r="Q531">
        <v>50</v>
      </c>
      <c r="R531" t="s">
        <v>35</v>
      </c>
      <c r="S531">
        <v>2</v>
      </c>
      <c r="T531" t="s">
        <v>31</v>
      </c>
      <c r="U531" t="s">
        <v>36</v>
      </c>
      <c r="V531">
        <v>1</v>
      </c>
      <c r="W531">
        <v>0</v>
      </c>
      <c r="X531">
        <v>0</v>
      </c>
      <c r="Y531">
        <v>8</v>
      </c>
      <c r="Z531" t="s">
        <v>37</v>
      </c>
    </row>
    <row r="532" spans="1:26" x14ac:dyDescent="0.3">
      <c r="A532" t="s">
        <v>168</v>
      </c>
      <c r="B532" t="s">
        <v>38</v>
      </c>
      <c r="C532">
        <v>28</v>
      </c>
      <c r="D532">
        <v>15</v>
      </c>
      <c r="E532">
        <v>57.142857142857139</v>
      </c>
      <c r="F532" t="b">
        <v>1</v>
      </c>
      <c r="G532">
        <v>62.8</v>
      </c>
      <c r="H532">
        <v>59.2</v>
      </c>
      <c r="I532">
        <v>45.4</v>
      </c>
      <c r="J532">
        <v>50.1</v>
      </c>
      <c r="K532">
        <v>54.375</v>
      </c>
      <c r="L532" t="s">
        <v>49</v>
      </c>
      <c r="M532">
        <v>3</v>
      </c>
      <c r="N532" t="s">
        <v>50</v>
      </c>
      <c r="O532">
        <v>9</v>
      </c>
      <c r="P532">
        <v>9</v>
      </c>
      <c r="Q532">
        <v>51</v>
      </c>
      <c r="R532" t="s">
        <v>30</v>
      </c>
      <c r="S532">
        <v>3</v>
      </c>
      <c r="T532" t="s">
        <v>39</v>
      </c>
      <c r="U532" t="s">
        <v>32</v>
      </c>
      <c r="V532">
        <v>1</v>
      </c>
      <c r="W532">
        <v>0</v>
      </c>
      <c r="X532">
        <v>0</v>
      </c>
      <c r="Y532">
        <v>9</v>
      </c>
      <c r="Z532" t="s">
        <v>33</v>
      </c>
    </row>
    <row r="533" spans="1:26" x14ac:dyDescent="0.3">
      <c r="A533" t="s">
        <v>168</v>
      </c>
      <c r="B533" t="s">
        <v>40</v>
      </c>
      <c r="C533">
        <v>28</v>
      </c>
      <c r="D533">
        <v>16</v>
      </c>
      <c r="E533">
        <v>64.285714285714292</v>
      </c>
      <c r="F533" t="b">
        <v>1</v>
      </c>
      <c r="G533">
        <v>58.2</v>
      </c>
      <c r="H533">
        <v>60</v>
      </c>
      <c r="I533">
        <v>65.599999999999994</v>
      </c>
      <c r="J533">
        <v>67.900000000000006</v>
      </c>
      <c r="K533">
        <v>62.924999999999997</v>
      </c>
      <c r="L533" t="s">
        <v>49</v>
      </c>
      <c r="M533">
        <v>3</v>
      </c>
      <c r="N533" t="s">
        <v>50</v>
      </c>
      <c r="O533">
        <v>3</v>
      </c>
      <c r="P533">
        <v>10</v>
      </c>
      <c r="Q533">
        <v>16</v>
      </c>
      <c r="R533" t="s">
        <v>30</v>
      </c>
      <c r="S533">
        <v>3</v>
      </c>
      <c r="T533" t="s">
        <v>41</v>
      </c>
      <c r="U533" t="s">
        <v>36</v>
      </c>
      <c r="V533">
        <v>1</v>
      </c>
      <c r="W533">
        <v>1</v>
      </c>
      <c r="X533">
        <v>0</v>
      </c>
      <c r="Y533">
        <v>10</v>
      </c>
      <c r="Z533" t="s">
        <v>37</v>
      </c>
    </row>
    <row r="534" spans="1:26" x14ac:dyDescent="0.3">
      <c r="A534" t="s">
        <v>168</v>
      </c>
      <c r="B534" t="s">
        <v>57</v>
      </c>
      <c r="C534">
        <v>30</v>
      </c>
      <c r="D534">
        <v>18</v>
      </c>
      <c r="E534">
        <v>43.333333333333343</v>
      </c>
      <c r="F534" t="b">
        <v>1</v>
      </c>
      <c r="G534">
        <v>65.7</v>
      </c>
      <c r="H534">
        <v>71.8</v>
      </c>
      <c r="I534">
        <v>41.8</v>
      </c>
      <c r="J534">
        <v>73.400000000000006</v>
      </c>
      <c r="K534">
        <v>63.174999999999997</v>
      </c>
      <c r="L534" t="s">
        <v>49</v>
      </c>
      <c r="M534">
        <v>3</v>
      </c>
      <c r="N534" t="s">
        <v>50</v>
      </c>
      <c r="O534">
        <v>19</v>
      </c>
      <c r="P534">
        <v>6</v>
      </c>
      <c r="Q534">
        <v>59</v>
      </c>
      <c r="R534" t="s">
        <v>30</v>
      </c>
      <c r="S534">
        <v>4</v>
      </c>
      <c r="T534" t="s">
        <v>58</v>
      </c>
      <c r="U534" t="s">
        <v>36</v>
      </c>
      <c r="V534">
        <v>1</v>
      </c>
      <c r="W534">
        <v>0</v>
      </c>
      <c r="X534">
        <v>0</v>
      </c>
      <c r="Y534">
        <v>6</v>
      </c>
      <c r="Z534" t="s">
        <v>37</v>
      </c>
    </row>
    <row r="535" spans="1:26" x14ac:dyDescent="0.3">
      <c r="A535" t="s">
        <v>168</v>
      </c>
      <c r="B535" t="s">
        <v>45</v>
      </c>
      <c r="C535">
        <v>27</v>
      </c>
      <c r="D535">
        <v>13</v>
      </c>
      <c r="E535">
        <v>59.259259259259252</v>
      </c>
      <c r="F535" t="b">
        <v>1</v>
      </c>
      <c r="G535">
        <v>44.8</v>
      </c>
      <c r="H535">
        <v>76.5</v>
      </c>
      <c r="I535">
        <v>73.099999999999994</v>
      </c>
      <c r="J535">
        <v>71.900000000000006</v>
      </c>
      <c r="K535">
        <v>66.574999999999989</v>
      </c>
      <c r="L535" t="s">
        <v>49</v>
      </c>
      <c r="M535">
        <v>3</v>
      </c>
      <c r="N535" t="s">
        <v>50</v>
      </c>
      <c r="O535">
        <v>13</v>
      </c>
      <c r="P535">
        <v>7</v>
      </c>
      <c r="Q535">
        <v>53</v>
      </c>
      <c r="R535" t="s">
        <v>46</v>
      </c>
      <c r="S535">
        <v>4</v>
      </c>
      <c r="T535" t="s">
        <v>47</v>
      </c>
      <c r="U535" t="s">
        <v>36</v>
      </c>
      <c r="V535">
        <v>1</v>
      </c>
      <c r="W535">
        <v>0</v>
      </c>
      <c r="X535">
        <v>0</v>
      </c>
      <c r="Y535">
        <v>7</v>
      </c>
      <c r="Z535" t="s">
        <v>37</v>
      </c>
    </row>
    <row r="536" spans="1:26" x14ac:dyDescent="0.3">
      <c r="A536" t="s">
        <v>169</v>
      </c>
      <c r="B536" t="s">
        <v>27</v>
      </c>
      <c r="C536">
        <v>34</v>
      </c>
      <c r="D536">
        <v>16</v>
      </c>
      <c r="E536">
        <v>47.058823529411761</v>
      </c>
      <c r="F536" t="b">
        <v>1</v>
      </c>
      <c r="G536">
        <v>69.900000000000006</v>
      </c>
      <c r="I536">
        <v>61.5</v>
      </c>
      <c r="J536">
        <v>68.5</v>
      </c>
      <c r="K536">
        <v>66.63333333333334</v>
      </c>
      <c r="L536" t="s">
        <v>61</v>
      </c>
      <c r="M536">
        <v>4</v>
      </c>
      <c r="N536" t="s">
        <v>55</v>
      </c>
      <c r="O536">
        <v>15</v>
      </c>
      <c r="P536">
        <v>11</v>
      </c>
      <c r="Q536">
        <v>42</v>
      </c>
      <c r="R536" t="s">
        <v>30</v>
      </c>
      <c r="S536">
        <v>4</v>
      </c>
      <c r="T536" t="s">
        <v>31</v>
      </c>
      <c r="U536" t="s">
        <v>36</v>
      </c>
      <c r="V536">
        <v>1</v>
      </c>
      <c r="W536">
        <v>0</v>
      </c>
      <c r="X536">
        <v>1</v>
      </c>
      <c r="Y536">
        <v>11</v>
      </c>
      <c r="Z536" t="s">
        <v>37</v>
      </c>
    </row>
    <row r="537" spans="1:26" x14ac:dyDescent="0.3">
      <c r="A537" t="s">
        <v>169</v>
      </c>
      <c r="B537" t="s">
        <v>51</v>
      </c>
      <c r="C537">
        <v>31</v>
      </c>
      <c r="D537">
        <v>16</v>
      </c>
      <c r="E537">
        <v>51.612903225806448</v>
      </c>
      <c r="F537" t="b">
        <v>1</v>
      </c>
      <c r="G537">
        <v>54.4</v>
      </c>
      <c r="H537">
        <v>44</v>
      </c>
      <c r="I537">
        <v>33</v>
      </c>
      <c r="J537">
        <v>44.7</v>
      </c>
      <c r="K537">
        <v>44.025000000000013</v>
      </c>
      <c r="L537" t="s">
        <v>61</v>
      </c>
      <c r="M537">
        <v>4</v>
      </c>
      <c r="N537" t="s">
        <v>55</v>
      </c>
      <c r="O537">
        <v>20</v>
      </c>
      <c r="P537">
        <v>10</v>
      </c>
      <c r="Q537">
        <v>72</v>
      </c>
      <c r="R537" t="s">
        <v>30</v>
      </c>
      <c r="S537">
        <v>3</v>
      </c>
      <c r="T537" t="s">
        <v>52</v>
      </c>
      <c r="U537" t="s">
        <v>32</v>
      </c>
      <c r="V537">
        <v>1</v>
      </c>
      <c r="W537">
        <v>0</v>
      </c>
      <c r="X537">
        <v>0</v>
      </c>
      <c r="Y537">
        <v>10</v>
      </c>
      <c r="Z537" t="s">
        <v>33</v>
      </c>
    </row>
    <row r="538" spans="1:26" x14ac:dyDescent="0.3">
      <c r="A538" t="s">
        <v>169</v>
      </c>
      <c r="B538" t="s">
        <v>38</v>
      </c>
      <c r="C538">
        <v>28</v>
      </c>
      <c r="D538">
        <v>16</v>
      </c>
      <c r="E538">
        <v>42.857142857142847</v>
      </c>
      <c r="F538" t="b">
        <v>1</v>
      </c>
      <c r="G538">
        <v>63.7</v>
      </c>
      <c r="H538">
        <v>58.7</v>
      </c>
      <c r="I538">
        <v>64.599999999999994</v>
      </c>
      <c r="J538">
        <v>56.5</v>
      </c>
      <c r="K538">
        <v>60.875</v>
      </c>
      <c r="L538" t="s">
        <v>61</v>
      </c>
      <c r="M538">
        <v>4</v>
      </c>
      <c r="N538" t="s">
        <v>55</v>
      </c>
      <c r="O538">
        <v>20</v>
      </c>
      <c r="P538">
        <v>8</v>
      </c>
      <c r="Q538">
        <v>49</v>
      </c>
      <c r="R538" t="s">
        <v>30</v>
      </c>
      <c r="S538">
        <v>3</v>
      </c>
      <c r="T538" t="s">
        <v>39</v>
      </c>
      <c r="U538" t="s">
        <v>36</v>
      </c>
      <c r="V538">
        <v>1</v>
      </c>
      <c r="W538">
        <v>0</v>
      </c>
      <c r="X538">
        <v>0</v>
      </c>
      <c r="Y538">
        <v>8</v>
      </c>
      <c r="Z538" t="s">
        <v>37</v>
      </c>
    </row>
    <row r="539" spans="1:26" x14ac:dyDescent="0.3">
      <c r="A539" t="s">
        <v>169</v>
      </c>
      <c r="B539" t="s">
        <v>57</v>
      </c>
      <c r="C539">
        <v>30</v>
      </c>
      <c r="D539">
        <v>12</v>
      </c>
      <c r="E539">
        <v>43.333333333333343</v>
      </c>
      <c r="F539" t="b">
        <v>1</v>
      </c>
      <c r="G539">
        <v>68.5</v>
      </c>
      <c r="H539">
        <v>70.8</v>
      </c>
      <c r="I539">
        <v>26.7</v>
      </c>
      <c r="J539">
        <v>90.5</v>
      </c>
      <c r="K539">
        <v>64.125</v>
      </c>
      <c r="L539" t="s">
        <v>61</v>
      </c>
      <c r="M539">
        <v>4</v>
      </c>
      <c r="N539" t="s">
        <v>55</v>
      </c>
      <c r="O539">
        <v>11</v>
      </c>
      <c r="P539">
        <v>13</v>
      </c>
      <c r="Q539">
        <v>27</v>
      </c>
      <c r="R539" t="s">
        <v>30</v>
      </c>
      <c r="S539">
        <v>4</v>
      </c>
      <c r="T539" t="s">
        <v>58</v>
      </c>
      <c r="U539" t="s">
        <v>36</v>
      </c>
      <c r="V539">
        <v>1</v>
      </c>
      <c r="W539">
        <v>0</v>
      </c>
      <c r="X539">
        <v>0</v>
      </c>
      <c r="Y539">
        <v>13</v>
      </c>
      <c r="Z539" t="s">
        <v>37</v>
      </c>
    </row>
    <row r="540" spans="1:26" x14ac:dyDescent="0.3">
      <c r="A540" t="s">
        <v>169</v>
      </c>
      <c r="B540" t="s">
        <v>45</v>
      </c>
      <c r="C540">
        <v>26</v>
      </c>
      <c r="D540">
        <v>13</v>
      </c>
      <c r="E540">
        <v>50</v>
      </c>
      <c r="F540" t="b">
        <v>1</v>
      </c>
      <c r="G540">
        <v>67.8</v>
      </c>
      <c r="H540">
        <v>83.3</v>
      </c>
      <c r="I540">
        <v>64.8</v>
      </c>
      <c r="J540">
        <v>74.599999999999994</v>
      </c>
      <c r="K540">
        <v>72.625</v>
      </c>
      <c r="L540" t="s">
        <v>61</v>
      </c>
      <c r="M540">
        <v>4</v>
      </c>
      <c r="N540" t="s">
        <v>55</v>
      </c>
      <c r="O540">
        <v>20</v>
      </c>
      <c r="P540">
        <v>6</v>
      </c>
      <c r="Q540">
        <v>47</v>
      </c>
      <c r="R540" t="s">
        <v>46</v>
      </c>
      <c r="S540">
        <v>4</v>
      </c>
      <c r="T540" t="s">
        <v>47</v>
      </c>
      <c r="U540" t="s">
        <v>36</v>
      </c>
      <c r="V540">
        <v>1</v>
      </c>
      <c r="W540">
        <v>0</v>
      </c>
      <c r="X540">
        <v>0</v>
      </c>
      <c r="Y540">
        <v>6</v>
      </c>
      <c r="Z540" t="s">
        <v>37</v>
      </c>
    </row>
    <row r="541" spans="1:26" x14ac:dyDescent="0.3">
      <c r="A541" t="s">
        <v>170</v>
      </c>
      <c r="B541" t="s">
        <v>27</v>
      </c>
      <c r="C541">
        <v>30</v>
      </c>
      <c r="D541">
        <v>13</v>
      </c>
      <c r="E541">
        <v>43.333333333333343</v>
      </c>
      <c r="F541" t="b">
        <v>1</v>
      </c>
      <c r="G541">
        <v>44.6</v>
      </c>
      <c r="H541">
        <v>51.1</v>
      </c>
      <c r="I541">
        <v>76.400000000000006</v>
      </c>
      <c r="J541">
        <v>66.5</v>
      </c>
      <c r="K541">
        <v>59.650000000000013</v>
      </c>
      <c r="L541" t="s">
        <v>61</v>
      </c>
      <c r="M541">
        <v>6</v>
      </c>
      <c r="N541" t="s">
        <v>50</v>
      </c>
      <c r="O541">
        <v>20</v>
      </c>
      <c r="P541">
        <v>8</v>
      </c>
      <c r="Q541">
        <v>53</v>
      </c>
      <c r="R541" t="s">
        <v>30</v>
      </c>
      <c r="S541">
        <v>4</v>
      </c>
      <c r="T541" t="s">
        <v>31</v>
      </c>
      <c r="U541" t="s">
        <v>32</v>
      </c>
      <c r="V541">
        <v>1</v>
      </c>
      <c r="W541">
        <v>0</v>
      </c>
      <c r="X541">
        <v>0</v>
      </c>
      <c r="Y541">
        <v>8</v>
      </c>
      <c r="Z541" t="s">
        <v>33</v>
      </c>
    </row>
    <row r="542" spans="1:26" x14ac:dyDescent="0.3">
      <c r="A542" t="s">
        <v>170</v>
      </c>
      <c r="B542" t="s">
        <v>51</v>
      </c>
      <c r="C542">
        <v>27</v>
      </c>
      <c r="D542">
        <v>13</v>
      </c>
      <c r="E542">
        <v>59.259259259259252</v>
      </c>
      <c r="F542" t="b">
        <v>1</v>
      </c>
      <c r="G542">
        <v>25.8</v>
      </c>
      <c r="H542">
        <v>54.4</v>
      </c>
      <c r="I542">
        <v>69.099999999999994</v>
      </c>
      <c r="J542">
        <v>72.900000000000006</v>
      </c>
      <c r="K542">
        <v>55.55</v>
      </c>
      <c r="L542" t="s">
        <v>61</v>
      </c>
      <c r="M542">
        <v>6</v>
      </c>
      <c r="N542" t="s">
        <v>50</v>
      </c>
      <c r="O542">
        <v>18</v>
      </c>
      <c r="P542">
        <v>12</v>
      </c>
      <c r="Q542">
        <v>52</v>
      </c>
      <c r="R542" t="s">
        <v>30</v>
      </c>
      <c r="S542">
        <v>3</v>
      </c>
      <c r="T542" t="s">
        <v>52</v>
      </c>
      <c r="U542" t="s">
        <v>32</v>
      </c>
      <c r="V542">
        <v>1</v>
      </c>
      <c r="W542">
        <v>0</v>
      </c>
      <c r="X542">
        <v>0</v>
      </c>
      <c r="Y542">
        <v>12</v>
      </c>
      <c r="Z542" t="s">
        <v>33</v>
      </c>
    </row>
    <row r="543" spans="1:26" x14ac:dyDescent="0.3">
      <c r="A543" t="s">
        <v>170</v>
      </c>
      <c r="B543" t="s">
        <v>40</v>
      </c>
      <c r="C543">
        <v>38</v>
      </c>
      <c r="D543">
        <v>16</v>
      </c>
      <c r="E543">
        <v>39.473684210526322</v>
      </c>
      <c r="F543" t="b">
        <v>1</v>
      </c>
      <c r="G543">
        <v>65.900000000000006</v>
      </c>
      <c r="H543">
        <v>77.900000000000006</v>
      </c>
      <c r="I543">
        <v>55</v>
      </c>
      <c r="J543">
        <v>65.7</v>
      </c>
      <c r="K543">
        <v>66.125</v>
      </c>
      <c r="L543" t="s">
        <v>61</v>
      </c>
      <c r="M543">
        <v>6</v>
      </c>
      <c r="N543" t="s">
        <v>50</v>
      </c>
      <c r="O543">
        <v>16</v>
      </c>
      <c r="P543">
        <v>10</v>
      </c>
      <c r="Q543">
        <v>36</v>
      </c>
      <c r="R543" t="s">
        <v>30</v>
      </c>
      <c r="S543">
        <v>3</v>
      </c>
      <c r="T543" t="s">
        <v>41</v>
      </c>
      <c r="U543" t="s">
        <v>36</v>
      </c>
      <c r="V543">
        <v>1</v>
      </c>
      <c r="W543">
        <v>0</v>
      </c>
      <c r="X543">
        <v>0</v>
      </c>
      <c r="Y543">
        <v>10</v>
      </c>
      <c r="Z543" t="s">
        <v>37</v>
      </c>
    </row>
    <row r="544" spans="1:26" x14ac:dyDescent="0.3">
      <c r="A544" t="s">
        <v>170</v>
      </c>
      <c r="B544" t="s">
        <v>57</v>
      </c>
      <c r="C544">
        <v>39</v>
      </c>
      <c r="D544">
        <v>15</v>
      </c>
      <c r="E544">
        <v>56.410256410256409</v>
      </c>
      <c r="F544" t="b">
        <v>1</v>
      </c>
      <c r="G544">
        <v>84</v>
      </c>
      <c r="H544">
        <v>66.099999999999994</v>
      </c>
      <c r="I544">
        <v>62.5</v>
      </c>
      <c r="J544">
        <v>73.400000000000006</v>
      </c>
      <c r="K544">
        <v>71.5</v>
      </c>
      <c r="L544" t="s">
        <v>61</v>
      </c>
      <c r="M544">
        <v>6</v>
      </c>
      <c r="N544" t="s">
        <v>50</v>
      </c>
      <c r="O544">
        <v>17</v>
      </c>
      <c r="P544">
        <v>7</v>
      </c>
      <c r="Q544">
        <v>55</v>
      </c>
      <c r="R544" t="s">
        <v>30</v>
      </c>
      <c r="S544">
        <v>4</v>
      </c>
      <c r="T544" t="s">
        <v>58</v>
      </c>
      <c r="U544" t="s">
        <v>36</v>
      </c>
      <c r="V544">
        <v>1</v>
      </c>
      <c r="W544">
        <v>0</v>
      </c>
      <c r="X544">
        <v>0</v>
      </c>
      <c r="Y544">
        <v>7</v>
      </c>
      <c r="Z544" t="s">
        <v>37</v>
      </c>
    </row>
    <row r="545" spans="1:26" x14ac:dyDescent="0.3">
      <c r="A545" t="s">
        <v>170</v>
      </c>
      <c r="B545" t="s">
        <v>42</v>
      </c>
      <c r="C545">
        <v>33</v>
      </c>
      <c r="D545">
        <v>22</v>
      </c>
      <c r="E545">
        <v>72.727272727272734</v>
      </c>
      <c r="F545" t="b">
        <v>1</v>
      </c>
      <c r="G545">
        <v>47.7</v>
      </c>
      <c r="H545">
        <v>52.1</v>
      </c>
      <c r="I545">
        <v>23</v>
      </c>
      <c r="J545">
        <v>72.400000000000006</v>
      </c>
      <c r="K545">
        <v>48.8</v>
      </c>
      <c r="L545" t="s">
        <v>61</v>
      </c>
      <c r="M545">
        <v>6</v>
      </c>
      <c r="N545" t="s">
        <v>50</v>
      </c>
      <c r="O545">
        <v>14</v>
      </c>
      <c r="P545">
        <v>7</v>
      </c>
      <c r="Q545">
        <v>35</v>
      </c>
      <c r="R545" t="s">
        <v>43</v>
      </c>
      <c r="S545">
        <v>3</v>
      </c>
      <c r="T545" t="s">
        <v>44</v>
      </c>
      <c r="U545" t="s">
        <v>32</v>
      </c>
      <c r="V545">
        <v>1</v>
      </c>
      <c r="W545">
        <v>0</v>
      </c>
      <c r="X545">
        <v>0</v>
      </c>
      <c r="Y545">
        <v>7</v>
      </c>
      <c r="Z545" t="s">
        <v>33</v>
      </c>
    </row>
    <row r="546" spans="1:26" x14ac:dyDescent="0.3">
      <c r="A546" t="s">
        <v>170</v>
      </c>
      <c r="B546" t="s">
        <v>45</v>
      </c>
      <c r="C546">
        <v>28</v>
      </c>
      <c r="D546">
        <v>24</v>
      </c>
      <c r="E546">
        <v>50</v>
      </c>
      <c r="F546" t="b">
        <v>1</v>
      </c>
      <c r="G546">
        <v>60.5</v>
      </c>
      <c r="H546">
        <v>62.8</v>
      </c>
      <c r="I546">
        <v>49.2</v>
      </c>
      <c r="J546">
        <v>63</v>
      </c>
      <c r="K546">
        <v>58.875</v>
      </c>
      <c r="L546" t="s">
        <v>61</v>
      </c>
      <c r="M546">
        <v>6</v>
      </c>
      <c r="N546" t="s">
        <v>50</v>
      </c>
      <c r="O546">
        <v>25</v>
      </c>
      <c r="P546">
        <v>9</v>
      </c>
      <c r="Q546">
        <v>67</v>
      </c>
      <c r="R546" t="s">
        <v>46</v>
      </c>
      <c r="S546">
        <v>4</v>
      </c>
      <c r="T546" t="s">
        <v>47</v>
      </c>
      <c r="U546" t="s">
        <v>32</v>
      </c>
      <c r="V546">
        <v>1</v>
      </c>
      <c r="W546">
        <v>0</v>
      </c>
      <c r="X546">
        <v>0</v>
      </c>
      <c r="Y546">
        <v>9</v>
      </c>
      <c r="Z546" t="s">
        <v>33</v>
      </c>
    </row>
    <row r="547" spans="1:26" x14ac:dyDescent="0.3">
      <c r="A547" t="s">
        <v>171</v>
      </c>
      <c r="B547" t="s">
        <v>27</v>
      </c>
      <c r="C547">
        <v>40</v>
      </c>
      <c r="D547">
        <v>14</v>
      </c>
      <c r="E547">
        <v>90</v>
      </c>
      <c r="F547" t="b">
        <v>1</v>
      </c>
      <c r="G547">
        <v>46.8</v>
      </c>
      <c r="H547">
        <v>70.8</v>
      </c>
      <c r="I547">
        <v>50.2</v>
      </c>
      <c r="J547">
        <v>91.4</v>
      </c>
      <c r="K547">
        <v>64.800000000000011</v>
      </c>
      <c r="L547" t="s">
        <v>49</v>
      </c>
      <c r="M547">
        <v>5</v>
      </c>
      <c r="N547" t="s">
        <v>50</v>
      </c>
      <c r="O547">
        <v>21</v>
      </c>
      <c r="P547">
        <v>7</v>
      </c>
      <c r="Q547">
        <v>58</v>
      </c>
      <c r="R547" t="s">
        <v>30</v>
      </c>
      <c r="S547">
        <v>4</v>
      </c>
      <c r="T547" t="s">
        <v>31</v>
      </c>
      <c r="U547" t="s">
        <v>36</v>
      </c>
      <c r="V547">
        <v>0</v>
      </c>
      <c r="W547">
        <v>0</v>
      </c>
      <c r="X547">
        <v>0</v>
      </c>
      <c r="Y547">
        <v>7</v>
      </c>
      <c r="Z547" t="s">
        <v>37</v>
      </c>
    </row>
    <row r="548" spans="1:26" x14ac:dyDescent="0.3">
      <c r="A548" t="s">
        <v>171</v>
      </c>
      <c r="B548" t="s">
        <v>34</v>
      </c>
      <c r="C548">
        <v>37</v>
      </c>
      <c r="D548">
        <v>36</v>
      </c>
      <c r="E548">
        <v>51.351351351351347</v>
      </c>
      <c r="F548" t="b">
        <v>1</v>
      </c>
      <c r="G548">
        <v>80.900000000000006</v>
      </c>
      <c r="H548">
        <v>59.7</v>
      </c>
      <c r="I548">
        <v>63.1</v>
      </c>
      <c r="J548">
        <v>68.3</v>
      </c>
      <c r="K548">
        <v>68</v>
      </c>
      <c r="L548" t="s">
        <v>49</v>
      </c>
      <c r="M548">
        <v>5</v>
      </c>
      <c r="N548" t="s">
        <v>50</v>
      </c>
      <c r="O548">
        <v>16</v>
      </c>
      <c r="P548">
        <v>5</v>
      </c>
      <c r="Q548">
        <v>61</v>
      </c>
      <c r="R548" t="s">
        <v>35</v>
      </c>
      <c r="S548">
        <v>2</v>
      </c>
      <c r="T548" t="s">
        <v>31</v>
      </c>
      <c r="U548" t="s">
        <v>36</v>
      </c>
      <c r="V548">
        <v>1</v>
      </c>
      <c r="W548">
        <v>0</v>
      </c>
      <c r="X548">
        <v>0</v>
      </c>
      <c r="Y548">
        <v>5</v>
      </c>
      <c r="Z548" t="s">
        <v>37</v>
      </c>
    </row>
    <row r="549" spans="1:26" x14ac:dyDescent="0.3">
      <c r="A549" t="s">
        <v>171</v>
      </c>
      <c r="B549" t="s">
        <v>38</v>
      </c>
      <c r="C549">
        <v>31</v>
      </c>
      <c r="D549">
        <v>19</v>
      </c>
      <c r="E549">
        <v>83.870967741935488</v>
      </c>
      <c r="F549" t="b">
        <v>1</v>
      </c>
      <c r="G549">
        <v>59.1</v>
      </c>
      <c r="H549">
        <v>74.7</v>
      </c>
      <c r="I549">
        <v>40.6</v>
      </c>
      <c r="J549">
        <v>66.2</v>
      </c>
      <c r="K549">
        <v>60.150000000000013</v>
      </c>
      <c r="L549" t="s">
        <v>49</v>
      </c>
      <c r="M549">
        <v>5</v>
      </c>
      <c r="N549" t="s">
        <v>50</v>
      </c>
      <c r="O549">
        <v>17</v>
      </c>
      <c r="P549">
        <v>8</v>
      </c>
      <c r="Q549">
        <v>58</v>
      </c>
      <c r="R549" t="s">
        <v>30</v>
      </c>
      <c r="S549">
        <v>3</v>
      </c>
      <c r="T549" t="s">
        <v>39</v>
      </c>
      <c r="U549" t="s">
        <v>36</v>
      </c>
      <c r="V549">
        <v>0</v>
      </c>
      <c r="W549">
        <v>0</v>
      </c>
      <c r="X549">
        <v>0</v>
      </c>
      <c r="Y549">
        <v>8</v>
      </c>
      <c r="Z549" t="s">
        <v>37</v>
      </c>
    </row>
    <row r="550" spans="1:26" x14ac:dyDescent="0.3">
      <c r="A550" t="s">
        <v>171</v>
      </c>
      <c r="B550" t="s">
        <v>57</v>
      </c>
      <c r="C550">
        <v>24</v>
      </c>
      <c r="D550">
        <v>26</v>
      </c>
      <c r="E550">
        <v>66.666666666666657</v>
      </c>
      <c r="F550" t="b">
        <v>1</v>
      </c>
      <c r="G550">
        <v>60</v>
      </c>
      <c r="H550">
        <v>59.4</v>
      </c>
      <c r="I550">
        <v>79.8</v>
      </c>
      <c r="J550">
        <v>71.099999999999994</v>
      </c>
      <c r="K550">
        <v>67.574999999999989</v>
      </c>
      <c r="L550" t="s">
        <v>49</v>
      </c>
      <c r="M550">
        <v>5</v>
      </c>
      <c r="N550" t="s">
        <v>50</v>
      </c>
      <c r="O550">
        <v>21</v>
      </c>
      <c r="P550">
        <v>3</v>
      </c>
      <c r="Q550">
        <v>57</v>
      </c>
      <c r="R550" t="s">
        <v>30</v>
      </c>
      <c r="S550">
        <v>4</v>
      </c>
      <c r="T550" t="s">
        <v>58</v>
      </c>
      <c r="U550" t="s">
        <v>36</v>
      </c>
      <c r="V550">
        <v>1</v>
      </c>
      <c r="W550">
        <v>0</v>
      </c>
      <c r="X550">
        <v>0</v>
      </c>
      <c r="Y550">
        <v>3</v>
      </c>
      <c r="Z550" t="s">
        <v>37</v>
      </c>
    </row>
    <row r="551" spans="1:26" x14ac:dyDescent="0.3">
      <c r="A551" t="s">
        <v>171</v>
      </c>
      <c r="B551" t="s">
        <v>42</v>
      </c>
      <c r="C551">
        <v>31</v>
      </c>
      <c r="D551">
        <v>16</v>
      </c>
      <c r="E551">
        <v>48.387096774193552</v>
      </c>
      <c r="F551" t="b">
        <v>1</v>
      </c>
      <c r="G551">
        <v>72.7</v>
      </c>
      <c r="H551">
        <v>48.1</v>
      </c>
      <c r="I551">
        <v>55.2</v>
      </c>
      <c r="J551">
        <v>78.599999999999994</v>
      </c>
      <c r="K551">
        <v>63.65</v>
      </c>
      <c r="L551" t="s">
        <v>49</v>
      </c>
      <c r="M551">
        <v>5</v>
      </c>
      <c r="N551" t="s">
        <v>50</v>
      </c>
      <c r="O551">
        <v>9</v>
      </c>
      <c r="P551">
        <v>9</v>
      </c>
      <c r="Q551">
        <v>37</v>
      </c>
      <c r="R551" t="s">
        <v>43</v>
      </c>
      <c r="S551">
        <v>3</v>
      </c>
      <c r="T551" t="s">
        <v>44</v>
      </c>
      <c r="U551" t="s">
        <v>36</v>
      </c>
      <c r="V551">
        <v>1</v>
      </c>
      <c r="W551">
        <v>0</v>
      </c>
      <c r="X551">
        <v>0</v>
      </c>
      <c r="Y551">
        <v>9</v>
      </c>
      <c r="Z551" t="s">
        <v>37</v>
      </c>
    </row>
    <row r="552" spans="1:26" x14ac:dyDescent="0.3">
      <c r="A552" t="s">
        <v>172</v>
      </c>
      <c r="B552" t="s">
        <v>51</v>
      </c>
      <c r="C552">
        <v>33</v>
      </c>
      <c r="D552">
        <v>15</v>
      </c>
      <c r="E552">
        <v>51.515151515151523</v>
      </c>
      <c r="F552" t="b">
        <v>1</v>
      </c>
      <c r="G552">
        <v>60.2</v>
      </c>
      <c r="H552">
        <v>60.8</v>
      </c>
      <c r="I552">
        <v>75.8</v>
      </c>
      <c r="J552">
        <v>81.599999999999994</v>
      </c>
      <c r="K552">
        <v>69.599999999999994</v>
      </c>
      <c r="L552" t="s">
        <v>61</v>
      </c>
      <c r="M552">
        <v>6</v>
      </c>
      <c r="N552" t="s">
        <v>50</v>
      </c>
      <c r="O552">
        <v>22</v>
      </c>
      <c r="P552">
        <v>7</v>
      </c>
      <c r="Q552">
        <v>55</v>
      </c>
      <c r="R552" t="s">
        <v>30</v>
      </c>
      <c r="S552">
        <v>3</v>
      </c>
      <c r="T552" t="s">
        <v>52</v>
      </c>
      <c r="U552" t="s">
        <v>36</v>
      </c>
      <c r="V552">
        <v>1</v>
      </c>
      <c r="W552">
        <v>0</v>
      </c>
      <c r="X552">
        <v>0</v>
      </c>
      <c r="Y552">
        <v>7</v>
      </c>
      <c r="Z552" t="s">
        <v>37</v>
      </c>
    </row>
    <row r="553" spans="1:26" x14ac:dyDescent="0.3">
      <c r="A553" t="s">
        <v>172</v>
      </c>
      <c r="B553" t="s">
        <v>34</v>
      </c>
      <c r="C553">
        <v>38</v>
      </c>
      <c r="D553">
        <v>17</v>
      </c>
      <c r="E553">
        <v>50</v>
      </c>
      <c r="F553" t="b">
        <v>1</v>
      </c>
      <c r="G553">
        <v>72.900000000000006</v>
      </c>
      <c r="H553">
        <v>68.099999999999994</v>
      </c>
      <c r="I553">
        <v>69.7</v>
      </c>
      <c r="J553">
        <v>65.400000000000006</v>
      </c>
      <c r="K553">
        <v>69.025000000000006</v>
      </c>
      <c r="L553" t="s">
        <v>61</v>
      </c>
      <c r="M553">
        <v>6</v>
      </c>
      <c r="N553" t="s">
        <v>50</v>
      </c>
      <c r="O553">
        <v>16</v>
      </c>
      <c r="P553">
        <v>7</v>
      </c>
      <c r="Q553">
        <v>57</v>
      </c>
      <c r="R553" t="s">
        <v>35</v>
      </c>
      <c r="S553">
        <v>2</v>
      </c>
      <c r="T553" t="s">
        <v>31</v>
      </c>
      <c r="U553" t="s">
        <v>36</v>
      </c>
      <c r="V553">
        <v>1</v>
      </c>
      <c r="W553">
        <v>0</v>
      </c>
      <c r="X553">
        <v>0</v>
      </c>
      <c r="Y553">
        <v>7</v>
      </c>
      <c r="Z553" t="s">
        <v>37</v>
      </c>
    </row>
    <row r="554" spans="1:26" x14ac:dyDescent="0.3">
      <c r="A554" t="s">
        <v>172</v>
      </c>
      <c r="B554" t="s">
        <v>57</v>
      </c>
      <c r="C554">
        <v>35</v>
      </c>
      <c r="D554">
        <v>19</v>
      </c>
      <c r="E554">
        <v>57.142857142857139</v>
      </c>
      <c r="F554" t="b">
        <v>1</v>
      </c>
      <c r="G554">
        <v>65.400000000000006</v>
      </c>
      <c r="H554">
        <v>59</v>
      </c>
      <c r="I554">
        <v>78.3</v>
      </c>
      <c r="J554">
        <v>60.6</v>
      </c>
      <c r="K554">
        <v>65.825000000000003</v>
      </c>
      <c r="L554" t="s">
        <v>61</v>
      </c>
      <c r="M554">
        <v>6</v>
      </c>
      <c r="N554" t="s">
        <v>50</v>
      </c>
      <c r="O554">
        <v>15</v>
      </c>
      <c r="P554">
        <v>8</v>
      </c>
      <c r="Q554">
        <v>35</v>
      </c>
      <c r="R554" t="s">
        <v>30</v>
      </c>
      <c r="S554">
        <v>4</v>
      </c>
      <c r="T554" t="s">
        <v>58</v>
      </c>
      <c r="U554" t="s">
        <v>36</v>
      </c>
      <c r="V554">
        <v>1</v>
      </c>
      <c r="W554">
        <v>0</v>
      </c>
      <c r="X554">
        <v>0</v>
      </c>
      <c r="Y554">
        <v>8</v>
      </c>
      <c r="Z554" t="s">
        <v>37</v>
      </c>
    </row>
    <row r="555" spans="1:26" x14ac:dyDescent="0.3">
      <c r="A555" t="s">
        <v>172</v>
      </c>
      <c r="B555" t="s">
        <v>45</v>
      </c>
      <c r="C555">
        <v>32</v>
      </c>
      <c r="D555">
        <v>20</v>
      </c>
      <c r="E555">
        <v>78.125</v>
      </c>
      <c r="F555" t="b">
        <v>1</v>
      </c>
      <c r="G555">
        <v>53.6</v>
      </c>
      <c r="H555">
        <v>65.900000000000006</v>
      </c>
      <c r="I555">
        <v>51.7</v>
      </c>
      <c r="J555">
        <v>57.7</v>
      </c>
      <c r="K555">
        <v>57.225000000000001</v>
      </c>
      <c r="L555" t="s">
        <v>61</v>
      </c>
      <c r="M555">
        <v>6</v>
      </c>
      <c r="N555" t="s">
        <v>50</v>
      </c>
      <c r="O555">
        <v>18</v>
      </c>
      <c r="P555">
        <v>10</v>
      </c>
      <c r="Q555">
        <v>46</v>
      </c>
      <c r="R555" t="s">
        <v>46</v>
      </c>
      <c r="S555">
        <v>4</v>
      </c>
      <c r="T555" t="s">
        <v>47</v>
      </c>
      <c r="U555" t="s">
        <v>32</v>
      </c>
      <c r="V555">
        <v>0</v>
      </c>
      <c r="W555">
        <v>0</v>
      </c>
      <c r="X555">
        <v>0</v>
      </c>
      <c r="Y555">
        <v>10</v>
      </c>
      <c r="Z555" t="s">
        <v>37</v>
      </c>
    </row>
    <row r="556" spans="1:26" x14ac:dyDescent="0.3">
      <c r="A556" t="s">
        <v>173</v>
      </c>
      <c r="B556" t="s">
        <v>27</v>
      </c>
      <c r="C556">
        <v>24</v>
      </c>
      <c r="D556">
        <v>25</v>
      </c>
      <c r="E556">
        <v>70.833333333333343</v>
      </c>
      <c r="F556" t="b">
        <v>1</v>
      </c>
      <c r="G556">
        <v>96.9</v>
      </c>
      <c r="H556">
        <v>100</v>
      </c>
      <c r="I556">
        <v>99.6</v>
      </c>
      <c r="J556">
        <v>75.599999999999994</v>
      </c>
      <c r="K556">
        <v>93.025000000000006</v>
      </c>
      <c r="L556" t="s">
        <v>54</v>
      </c>
      <c r="M556">
        <v>6</v>
      </c>
      <c r="N556" t="s">
        <v>50</v>
      </c>
      <c r="O556">
        <v>23</v>
      </c>
      <c r="P556">
        <v>15</v>
      </c>
      <c r="Q556">
        <v>67</v>
      </c>
      <c r="R556" t="s">
        <v>30</v>
      </c>
      <c r="S556">
        <v>4</v>
      </c>
      <c r="T556" t="s">
        <v>31</v>
      </c>
      <c r="U556" t="s">
        <v>56</v>
      </c>
      <c r="V556">
        <v>1</v>
      </c>
      <c r="W556">
        <v>0</v>
      </c>
      <c r="X556">
        <v>0</v>
      </c>
      <c r="Y556">
        <v>15</v>
      </c>
      <c r="Z556" t="s">
        <v>37</v>
      </c>
    </row>
    <row r="557" spans="1:26" x14ac:dyDescent="0.3">
      <c r="A557" t="s">
        <v>173</v>
      </c>
      <c r="B557" t="s">
        <v>51</v>
      </c>
      <c r="C557">
        <v>26</v>
      </c>
      <c r="D557">
        <v>17</v>
      </c>
      <c r="E557">
        <v>84.615384615384613</v>
      </c>
      <c r="F557" t="b">
        <v>1</v>
      </c>
      <c r="G557">
        <v>82.9</v>
      </c>
      <c r="H557">
        <v>76.599999999999994</v>
      </c>
      <c r="I557">
        <v>67</v>
      </c>
      <c r="J557">
        <v>84.7</v>
      </c>
      <c r="K557">
        <v>77.8</v>
      </c>
      <c r="L557" t="s">
        <v>54</v>
      </c>
      <c r="M557">
        <v>6</v>
      </c>
      <c r="N557" t="s">
        <v>50</v>
      </c>
      <c r="O557">
        <v>23</v>
      </c>
      <c r="P557">
        <v>9</v>
      </c>
      <c r="Q557">
        <v>56</v>
      </c>
      <c r="R557" t="s">
        <v>30</v>
      </c>
      <c r="S557">
        <v>3</v>
      </c>
      <c r="T557" t="s">
        <v>52</v>
      </c>
      <c r="U557" t="s">
        <v>56</v>
      </c>
      <c r="V557">
        <v>0</v>
      </c>
      <c r="W557">
        <v>0</v>
      </c>
      <c r="X557">
        <v>0</v>
      </c>
      <c r="Y557">
        <v>9</v>
      </c>
      <c r="Z557" t="s">
        <v>37</v>
      </c>
    </row>
    <row r="558" spans="1:26" x14ac:dyDescent="0.3">
      <c r="A558" t="s">
        <v>173</v>
      </c>
      <c r="B558" t="s">
        <v>34</v>
      </c>
      <c r="C558">
        <v>39</v>
      </c>
      <c r="D558">
        <v>22</v>
      </c>
      <c r="E558">
        <v>58.974358974358978</v>
      </c>
      <c r="F558" t="b">
        <v>1</v>
      </c>
      <c r="G558">
        <v>100</v>
      </c>
      <c r="H558">
        <v>94.9</v>
      </c>
      <c r="I558">
        <v>85.9</v>
      </c>
      <c r="J558">
        <v>100</v>
      </c>
      <c r="K558">
        <v>95.2</v>
      </c>
      <c r="L558" t="s">
        <v>54</v>
      </c>
      <c r="M558">
        <v>6</v>
      </c>
      <c r="N558" t="s">
        <v>50</v>
      </c>
      <c r="O558">
        <v>9</v>
      </c>
      <c r="P558">
        <v>11</v>
      </c>
      <c r="Q558">
        <v>64</v>
      </c>
      <c r="R558" t="s">
        <v>35</v>
      </c>
      <c r="S558">
        <v>2</v>
      </c>
      <c r="T558" t="s">
        <v>31</v>
      </c>
      <c r="U558" t="s">
        <v>56</v>
      </c>
      <c r="V558">
        <v>1</v>
      </c>
      <c r="W558">
        <v>0</v>
      </c>
      <c r="X558">
        <v>0</v>
      </c>
      <c r="Y558">
        <v>11</v>
      </c>
      <c r="Z558" t="s">
        <v>37</v>
      </c>
    </row>
    <row r="559" spans="1:26" x14ac:dyDescent="0.3">
      <c r="A559" t="s">
        <v>173</v>
      </c>
      <c r="B559" t="s">
        <v>38</v>
      </c>
      <c r="C559">
        <v>27</v>
      </c>
      <c r="D559">
        <v>23</v>
      </c>
      <c r="E559">
        <v>66.666666666666657</v>
      </c>
      <c r="F559" t="b">
        <v>1</v>
      </c>
      <c r="G559">
        <v>60.4</v>
      </c>
      <c r="H559">
        <v>75.3</v>
      </c>
      <c r="I559">
        <v>82.4</v>
      </c>
      <c r="J559">
        <v>98.7</v>
      </c>
      <c r="K559">
        <v>79.2</v>
      </c>
      <c r="L559" t="s">
        <v>54</v>
      </c>
      <c r="M559">
        <v>6</v>
      </c>
      <c r="N559" t="s">
        <v>50</v>
      </c>
      <c r="O559">
        <v>17</v>
      </c>
      <c r="P559">
        <v>13</v>
      </c>
      <c r="Q559">
        <v>44</v>
      </c>
      <c r="R559" t="s">
        <v>30</v>
      </c>
      <c r="S559">
        <v>3</v>
      </c>
      <c r="T559" t="s">
        <v>39</v>
      </c>
      <c r="U559" t="s">
        <v>56</v>
      </c>
      <c r="V559">
        <v>1</v>
      </c>
      <c r="W559">
        <v>0</v>
      </c>
      <c r="X559">
        <v>0</v>
      </c>
      <c r="Y559">
        <v>13</v>
      </c>
      <c r="Z559" t="s">
        <v>37</v>
      </c>
    </row>
    <row r="560" spans="1:26" x14ac:dyDescent="0.3">
      <c r="A560" t="s">
        <v>173</v>
      </c>
      <c r="B560" t="s">
        <v>40</v>
      </c>
      <c r="C560">
        <v>38</v>
      </c>
      <c r="D560">
        <v>18</v>
      </c>
      <c r="E560">
        <v>76.31578947368422</v>
      </c>
      <c r="F560" t="b">
        <v>1</v>
      </c>
      <c r="G560">
        <v>97</v>
      </c>
      <c r="H560">
        <v>77.599999999999994</v>
      </c>
      <c r="I560">
        <v>81.2</v>
      </c>
      <c r="J560">
        <v>81.5</v>
      </c>
      <c r="K560">
        <v>84.325000000000003</v>
      </c>
      <c r="L560" t="s">
        <v>54</v>
      </c>
      <c r="M560">
        <v>6</v>
      </c>
      <c r="N560" t="s">
        <v>50</v>
      </c>
      <c r="O560">
        <v>17</v>
      </c>
      <c r="P560">
        <v>13</v>
      </c>
      <c r="Q560">
        <v>52</v>
      </c>
      <c r="R560" t="s">
        <v>30</v>
      </c>
      <c r="S560">
        <v>3</v>
      </c>
      <c r="T560" t="s">
        <v>41</v>
      </c>
      <c r="U560" t="s">
        <v>56</v>
      </c>
      <c r="V560">
        <v>0</v>
      </c>
      <c r="W560">
        <v>0</v>
      </c>
      <c r="X560">
        <v>0</v>
      </c>
      <c r="Y560">
        <v>13</v>
      </c>
      <c r="Z560" t="s">
        <v>37</v>
      </c>
    </row>
    <row r="561" spans="1:26" x14ac:dyDescent="0.3">
      <c r="A561" t="s">
        <v>173</v>
      </c>
      <c r="B561" t="s">
        <v>45</v>
      </c>
      <c r="C561">
        <v>35</v>
      </c>
      <c r="D561">
        <v>29</v>
      </c>
      <c r="E561">
        <v>60</v>
      </c>
      <c r="F561" t="b">
        <v>1</v>
      </c>
      <c r="G561">
        <v>100</v>
      </c>
      <c r="H561">
        <v>80.900000000000006</v>
      </c>
      <c r="I561">
        <v>86.7</v>
      </c>
      <c r="J561">
        <v>100</v>
      </c>
      <c r="K561">
        <v>91.9</v>
      </c>
      <c r="L561" t="s">
        <v>54</v>
      </c>
      <c r="M561">
        <v>6</v>
      </c>
      <c r="N561" t="s">
        <v>50</v>
      </c>
      <c r="O561">
        <v>12</v>
      </c>
      <c r="P561">
        <v>11</v>
      </c>
      <c r="Q561">
        <v>53</v>
      </c>
      <c r="R561" t="s">
        <v>46</v>
      </c>
      <c r="S561">
        <v>4</v>
      </c>
      <c r="T561" t="s">
        <v>47</v>
      </c>
      <c r="U561" t="s">
        <v>56</v>
      </c>
      <c r="V561">
        <v>1</v>
      </c>
      <c r="W561">
        <v>0</v>
      </c>
      <c r="X561">
        <v>0</v>
      </c>
      <c r="Y561">
        <v>11</v>
      </c>
      <c r="Z561" t="s">
        <v>37</v>
      </c>
    </row>
    <row r="562" spans="1:26" x14ac:dyDescent="0.3">
      <c r="A562" t="s">
        <v>174</v>
      </c>
      <c r="B562" t="s">
        <v>51</v>
      </c>
      <c r="C562">
        <v>36</v>
      </c>
      <c r="D562">
        <v>21</v>
      </c>
      <c r="E562">
        <v>55.555555555555557</v>
      </c>
      <c r="F562" t="b">
        <v>1</v>
      </c>
      <c r="G562">
        <v>73.099999999999994</v>
      </c>
      <c r="H562">
        <v>52.7</v>
      </c>
      <c r="I562">
        <v>55.9</v>
      </c>
      <c r="J562">
        <v>69.3</v>
      </c>
      <c r="K562">
        <v>62.75</v>
      </c>
      <c r="L562" t="s">
        <v>28</v>
      </c>
      <c r="M562">
        <v>4</v>
      </c>
      <c r="N562" t="s">
        <v>50</v>
      </c>
      <c r="O562">
        <v>15</v>
      </c>
      <c r="P562">
        <v>9</v>
      </c>
      <c r="Q562">
        <v>70</v>
      </c>
      <c r="R562" t="s">
        <v>30</v>
      </c>
      <c r="S562">
        <v>3</v>
      </c>
      <c r="T562" t="s">
        <v>52</v>
      </c>
      <c r="U562" t="s">
        <v>36</v>
      </c>
      <c r="V562">
        <v>1</v>
      </c>
      <c r="W562">
        <v>0</v>
      </c>
      <c r="X562">
        <v>0</v>
      </c>
      <c r="Y562">
        <v>9</v>
      </c>
      <c r="Z562" t="s">
        <v>37</v>
      </c>
    </row>
    <row r="563" spans="1:26" x14ac:dyDescent="0.3">
      <c r="A563" t="s">
        <v>174</v>
      </c>
      <c r="B563" t="s">
        <v>38</v>
      </c>
      <c r="C563">
        <v>30</v>
      </c>
      <c r="D563">
        <v>20</v>
      </c>
      <c r="E563">
        <v>56.666666666666657</v>
      </c>
      <c r="F563" t="b">
        <v>1</v>
      </c>
      <c r="G563">
        <v>74</v>
      </c>
      <c r="H563">
        <v>90.5</v>
      </c>
      <c r="J563">
        <v>75.900000000000006</v>
      </c>
      <c r="K563">
        <v>80.13333333333334</v>
      </c>
      <c r="L563" t="s">
        <v>28</v>
      </c>
      <c r="M563">
        <v>4</v>
      </c>
      <c r="N563" t="s">
        <v>50</v>
      </c>
      <c r="O563">
        <v>8</v>
      </c>
      <c r="P563">
        <v>6</v>
      </c>
      <c r="Q563">
        <v>18</v>
      </c>
      <c r="R563" t="s">
        <v>30</v>
      </c>
      <c r="S563">
        <v>3</v>
      </c>
      <c r="T563" t="s">
        <v>39</v>
      </c>
      <c r="U563" t="s">
        <v>56</v>
      </c>
      <c r="V563">
        <v>1</v>
      </c>
      <c r="W563">
        <v>0</v>
      </c>
      <c r="X563">
        <v>1</v>
      </c>
      <c r="Y563">
        <v>6</v>
      </c>
      <c r="Z563" t="s">
        <v>37</v>
      </c>
    </row>
    <row r="564" spans="1:26" x14ac:dyDescent="0.3">
      <c r="A564" t="s">
        <v>174</v>
      </c>
      <c r="B564" t="s">
        <v>40</v>
      </c>
      <c r="C564">
        <v>28</v>
      </c>
      <c r="D564">
        <v>17</v>
      </c>
      <c r="E564">
        <v>67.857142857142861</v>
      </c>
      <c r="F564" t="b">
        <v>1</v>
      </c>
      <c r="G564">
        <v>74.3</v>
      </c>
      <c r="H564">
        <v>64.5</v>
      </c>
      <c r="I564">
        <v>53.8</v>
      </c>
      <c r="J564">
        <v>58.6</v>
      </c>
      <c r="K564">
        <v>62.8</v>
      </c>
      <c r="L564" t="s">
        <v>28</v>
      </c>
      <c r="M564">
        <v>4</v>
      </c>
      <c r="N564" t="s">
        <v>50</v>
      </c>
      <c r="O564">
        <v>21</v>
      </c>
      <c r="P564">
        <v>7</v>
      </c>
      <c r="Q564">
        <v>49</v>
      </c>
      <c r="R564" t="s">
        <v>30</v>
      </c>
      <c r="S564">
        <v>3</v>
      </c>
      <c r="T564" t="s">
        <v>41</v>
      </c>
      <c r="U564" t="s">
        <v>36</v>
      </c>
      <c r="V564">
        <v>1</v>
      </c>
      <c r="W564">
        <v>0</v>
      </c>
      <c r="X564">
        <v>0</v>
      </c>
      <c r="Y564">
        <v>7</v>
      </c>
      <c r="Z564" t="s">
        <v>37</v>
      </c>
    </row>
    <row r="565" spans="1:26" x14ac:dyDescent="0.3">
      <c r="A565" t="s">
        <v>174</v>
      </c>
      <c r="B565" t="s">
        <v>57</v>
      </c>
      <c r="C565">
        <v>39</v>
      </c>
      <c r="D565">
        <v>19</v>
      </c>
      <c r="E565">
        <v>69.230769230769226</v>
      </c>
      <c r="F565" t="b">
        <v>1</v>
      </c>
      <c r="G565">
        <v>72.5</v>
      </c>
      <c r="H565">
        <v>69.900000000000006</v>
      </c>
      <c r="I565">
        <v>68.2</v>
      </c>
      <c r="J565">
        <v>64.5</v>
      </c>
      <c r="K565">
        <v>68.775000000000006</v>
      </c>
      <c r="L565" t="s">
        <v>28</v>
      </c>
      <c r="M565">
        <v>4</v>
      </c>
      <c r="N565" t="s">
        <v>50</v>
      </c>
      <c r="O565">
        <v>28</v>
      </c>
      <c r="P565">
        <v>8</v>
      </c>
      <c r="Q565">
        <v>84</v>
      </c>
      <c r="R565" t="s">
        <v>30</v>
      </c>
      <c r="S565">
        <v>4</v>
      </c>
      <c r="T565" t="s">
        <v>58</v>
      </c>
      <c r="U565" t="s">
        <v>36</v>
      </c>
      <c r="V565">
        <v>1</v>
      </c>
      <c r="W565">
        <v>0</v>
      </c>
      <c r="X565">
        <v>0</v>
      </c>
      <c r="Y565">
        <v>8</v>
      </c>
      <c r="Z565" t="s">
        <v>37</v>
      </c>
    </row>
    <row r="566" spans="1:26" x14ac:dyDescent="0.3">
      <c r="A566" t="s">
        <v>175</v>
      </c>
      <c r="B566" t="s">
        <v>27</v>
      </c>
      <c r="C566">
        <v>26</v>
      </c>
      <c r="D566">
        <v>27</v>
      </c>
      <c r="E566">
        <v>73.076923076923066</v>
      </c>
      <c r="F566" t="b">
        <v>1</v>
      </c>
      <c r="G566">
        <v>56.5</v>
      </c>
      <c r="H566">
        <v>73.2</v>
      </c>
      <c r="I566">
        <v>46.6</v>
      </c>
      <c r="J566">
        <v>73.3</v>
      </c>
      <c r="K566">
        <v>62.399999999999991</v>
      </c>
      <c r="L566" t="s">
        <v>28</v>
      </c>
      <c r="M566">
        <v>5</v>
      </c>
      <c r="N566" t="s">
        <v>50</v>
      </c>
      <c r="O566">
        <v>22</v>
      </c>
      <c r="P566">
        <v>8</v>
      </c>
      <c r="Q566">
        <v>57</v>
      </c>
      <c r="R566" t="s">
        <v>30</v>
      </c>
      <c r="S566">
        <v>4</v>
      </c>
      <c r="T566" t="s">
        <v>31</v>
      </c>
      <c r="U566" t="s">
        <v>36</v>
      </c>
      <c r="V566">
        <v>1</v>
      </c>
      <c r="W566">
        <v>0</v>
      </c>
      <c r="X566">
        <v>0</v>
      </c>
      <c r="Y566">
        <v>8</v>
      </c>
      <c r="Z566" t="s">
        <v>37</v>
      </c>
    </row>
    <row r="567" spans="1:26" x14ac:dyDescent="0.3">
      <c r="A567" t="s">
        <v>175</v>
      </c>
      <c r="B567" t="s">
        <v>51</v>
      </c>
      <c r="C567">
        <v>32</v>
      </c>
      <c r="D567">
        <v>19</v>
      </c>
      <c r="E567">
        <v>90.625</v>
      </c>
      <c r="F567" t="b">
        <v>1</v>
      </c>
      <c r="G567">
        <v>61.8</v>
      </c>
      <c r="H567">
        <v>58.7</v>
      </c>
      <c r="I567">
        <v>60.3</v>
      </c>
      <c r="J567">
        <v>51.3</v>
      </c>
      <c r="K567">
        <v>58.025000000000013</v>
      </c>
      <c r="L567" t="s">
        <v>28</v>
      </c>
      <c r="M567">
        <v>5</v>
      </c>
      <c r="N567" t="s">
        <v>50</v>
      </c>
      <c r="O567">
        <v>23</v>
      </c>
      <c r="P567">
        <v>9</v>
      </c>
      <c r="Q567">
        <v>61</v>
      </c>
      <c r="R567" t="s">
        <v>30</v>
      </c>
      <c r="S567">
        <v>3</v>
      </c>
      <c r="T567" t="s">
        <v>52</v>
      </c>
      <c r="U567" t="s">
        <v>32</v>
      </c>
      <c r="V567">
        <v>0</v>
      </c>
      <c r="W567">
        <v>0</v>
      </c>
      <c r="X567">
        <v>0</v>
      </c>
      <c r="Y567">
        <v>9</v>
      </c>
      <c r="Z567" t="s">
        <v>37</v>
      </c>
    </row>
    <row r="568" spans="1:26" x14ac:dyDescent="0.3">
      <c r="A568" t="s">
        <v>175</v>
      </c>
      <c r="B568" t="s">
        <v>38</v>
      </c>
      <c r="C568">
        <v>37</v>
      </c>
      <c r="D568">
        <v>29</v>
      </c>
      <c r="E568">
        <v>62.162162162162161</v>
      </c>
      <c r="F568" t="b">
        <v>1</v>
      </c>
      <c r="G568">
        <v>60.2</v>
      </c>
      <c r="H568">
        <v>60.4</v>
      </c>
      <c r="I568">
        <v>80.3</v>
      </c>
      <c r="J568">
        <v>60.3</v>
      </c>
      <c r="K568">
        <v>65.3</v>
      </c>
      <c r="L568" t="s">
        <v>28</v>
      </c>
      <c r="M568">
        <v>5</v>
      </c>
      <c r="N568" t="s">
        <v>50</v>
      </c>
      <c r="O568">
        <v>23</v>
      </c>
      <c r="P568">
        <v>6</v>
      </c>
      <c r="Q568">
        <v>52</v>
      </c>
      <c r="R568" t="s">
        <v>30</v>
      </c>
      <c r="S568">
        <v>3</v>
      </c>
      <c r="T568" t="s">
        <v>39</v>
      </c>
      <c r="U568" t="s">
        <v>36</v>
      </c>
      <c r="V568">
        <v>1</v>
      </c>
      <c r="W568">
        <v>0</v>
      </c>
      <c r="X568">
        <v>0</v>
      </c>
      <c r="Y568">
        <v>6</v>
      </c>
      <c r="Z568" t="s">
        <v>37</v>
      </c>
    </row>
    <row r="569" spans="1:26" x14ac:dyDescent="0.3">
      <c r="A569" t="s">
        <v>175</v>
      </c>
      <c r="B569" t="s">
        <v>57</v>
      </c>
      <c r="C569">
        <v>26</v>
      </c>
      <c r="D569">
        <v>23</v>
      </c>
      <c r="E569">
        <v>57.692307692307693</v>
      </c>
      <c r="F569" t="b">
        <v>1</v>
      </c>
      <c r="G569">
        <v>66.8</v>
      </c>
      <c r="H569">
        <v>51.4</v>
      </c>
      <c r="I569">
        <v>63.2</v>
      </c>
      <c r="J569">
        <v>83.7</v>
      </c>
      <c r="K569">
        <v>66.274999999999991</v>
      </c>
      <c r="L569" t="s">
        <v>28</v>
      </c>
      <c r="M569">
        <v>5</v>
      </c>
      <c r="N569" t="s">
        <v>50</v>
      </c>
      <c r="O569">
        <v>24</v>
      </c>
      <c r="P569">
        <v>6</v>
      </c>
      <c r="Q569">
        <v>58</v>
      </c>
      <c r="R569" t="s">
        <v>30</v>
      </c>
      <c r="S569">
        <v>4</v>
      </c>
      <c r="T569" t="s">
        <v>58</v>
      </c>
      <c r="U569" t="s">
        <v>36</v>
      </c>
      <c r="V569">
        <v>1</v>
      </c>
      <c r="W569">
        <v>0</v>
      </c>
      <c r="X569">
        <v>0</v>
      </c>
      <c r="Y569">
        <v>6</v>
      </c>
      <c r="Z569" t="s">
        <v>37</v>
      </c>
    </row>
    <row r="570" spans="1:26" x14ac:dyDescent="0.3">
      <c r="A570" t="s">
        <v>175</v>
      </c>
      <c r="B570" t="s">
        <v>45</v>
      </c>
      <c r="C570">
        <v>29</v>
      </c>
      <c r="D570">
        <v>15</v>
      </c>
      <c r="E570">
        <v>86.206896551724128</v>
      </c>
      <c r="F570" t="b">
        <v>1</v>
      </c>
      <c r="G570">
        <v>61.7</v>
      </c>
      <c r="H570">
        <v>61</v>
      </c>
      <c r="I570">
        <v>54.4</v>
      </c>
      <c r="J570">
        <v>83.7</v>
      </c>
      <c r="K570">
        <v>65.2</v>
      </c>
      <c r="L570" t="s">
        <v>28</v>
      </c>
      <c r="M570">
        <v>5</v>
      </c>
      <c r="N570" t="s">
        <v>50</v>
      </c>
      <c r="O570">
        <v>14</v>
      </c>
      <c r="P570">
        <v>7</v>
      </c>
      <c r="Q570">
        <v>60</v>
      </c>
      <c r="R570" t="s">
        <v>46</v>
      </c>
      <c r="S570">
        <v>4</v>
      </c>
      <c r="T570" t="s">
        <v>47</v>
      </c>
      <c r="U570" t="s">
        <v>36</v>
      </c>
      <c r="V570">
        <v>0</v>
      </c>
      <c r="W570">
        <v>0</v>
      </c>
      <c r="X570">
        <v>0</v>
      </c>
      <c r="Y570">
        <v>7</v>
      </c>
      <c r="Z570" t="s">
        <v>37</v>
      </c>
    </row>
    <row r="571" spans="1:26" x14ac:dyDescent="0.3">
      <c r="A571" t="s">
        <v>176</v>
      </c>
      <c r="B571" t="s">
        <v>51</v>
      </c>
      <c r="C571">
        <v>24</v>
      </c>
      <c r="D571">
        <v>25</v>
      </c>
      <c r="E571">
        <v>37.5</v>
      </c>
      <c r="F571" t="b">
        <v>1</v>
      </c>
      <c r="G571">
        <v>61.6</v>
      </c>
      <c r="H571">
        <v>48.8</v>
      </c>
      <c r="I571">
        <v>69.7</v>
      </c>
      <c r="J571">
        <v>51.4</v>
      </c>
      <c r="K571">
        <v>57.875000000000007</v>
      </c>
      <c r="L571" t="s">
        <v>49</v>
      </c>
      <c r="M571">
        <v>3</v>
      </c>
      <c r="N571" t="s">
        <v>50</v>
      </c>
      <c r="O571">
        <v>14</v>
      </c>
      <c r="P571">
        <v>9</v>
      </c>
      <c r="Q571">
        <v>21</v>
      </c>
      <c r="R571" t="s">
        <v>30</v>
      </c>
      <c r="S571">
        <v>3</v>
      </c>
      <c r="T571" t="s">
        <v>52</v>
      </c>
      <c r="U571" t="s">
        <v>32</v>
      </c>
      <c r="V571">
        <v>1</v>
      </c>
      <c r="W571">
        <v>0</v>
      </c>
      <c r="X571">
        <v>0</v>
      </c>
      <c r="Y571">
        <v>9</v>
      </c>
      <c r="Z571" t="s">
        <v>33</v>
      </c>
    </row>
    <row r="572" spans="1:26" x14ac:dyDescent="0.3">
      <c r="A572" t="s">
        <v>176</v>
      </c>
      <c r="B572" t="s">
        <v>38</v>
      </c>
      <c r="C572">
        <v>40</v>
      </c>
      <c r="D572">
        <v>9</v>
      </c>
      <c r="E572">
        <v>60</v>
      </c>
      <c r="F572" t="b">
        <v>1</v>
      </c>
      <c r="G572">
        <v>67.900000000000006</v>
      </c>
      <c r="H572">
        <v>64.7</v>
      </c>
      <c r="I572">
        <v>32.200000000000003</v>
      </c>
      <c r="J572">
        <v>68.2</v>
      </c>
      <c r="K572">
        <v>58.25</v>
      </c>
      <c r="L572" t="s">
        <v>49</v>
      </c>
      <c r="M572">
        <v>3</v>
      </c>
      <c r="N572" t="s">
        <v>50</v>
      </c>
      <c r="O572">
        <v>15</v>
      </c>
      <c r="P572">
        <v>6</v>
      </c>
      <c r="Q572">
        <v>49</v>
      </c>
      <c r="R572" t="s">
        <v>30</v>
      </c>
      <c r="S572">
        <v>3</v>
      </c>
      <c r="T572" t="s">
        <v>39</v>
      </c>
      <c r="U572" t="s">
        <v>32</v>
      </c>
      <c r="V572">
        <v>1</v>
      </c>
      <c r="W572">
        <v>0</v>
      </c>
      <c r="X572">
        <v>0</v>
      </c>
      <c r="Y572">
        <v>6</v>
      </c>
      <c r="Z572" t="s">
        <v>33</v>
      </c>
    </row>
    <row r="573" spans="1:26" x14ac:dyDescent="0.3">
      <c r="A573" t="s">
        <v>176</v>
      </c>
      <c r="B573" t="s">
        <v>40</v>
      </c>
      <c r="C573">
        <v>24</v>
      </c>
      <c r="D573">
        <v>24</v>
      </c>
      <c r="E573">
        <v>54.166666666666657</v>
      </c>
      <c r="F573" t="b">
        <v>1</v>
      </c>
      <c r="H573">
        <v>50.3</v>
      </c>
      <c r="I573">
        <v>51.8</v>
      </c>
      <c r="J573">
        <v>61.4</v>
      </c>
      <c r="K573">
        <v>54.5</v>
      </c>
      <c r="L573" t="s">
        <v>49</v>
      </c>
      <c r="M573">
        <v>3</v>
      </c>
      <c r="N573" t="s">
        <v>50</v>
      </c>
      <c r="O573">
        <v>14</v>
      </c>
      <c r="P573">
        <v>10</v>
      </c>
      <c r="Q573">
        <v>57</v>
      </c>
      <c r="R573" t="s">
        <v>30</v>
      </c>
      <c r="S573">
        <v>3</v>
      </c>
      <c r="T573" t="s">
        <v>41</v>
      </c>
      <c r="U573" t="s">
        <v>32</v>
      </c>
      <c r="V573">
        <v>1</v>
      </c>
      <c r="W573">
        <v>0</v>
      </c>
      <c r="X573">
        <v>1</v>
      </c>
      <c r="Y573">
        <v>10</v>
      </c>
      <c r="Z573" t="s">
        <v>33</v>
      </c>
    </row>
    <row r="574" spans="1:26" x14ac:dyDescent="0.3">
      <c r="A574" t="s">
        <v>176</v>
      </c>
      <c r="B574" t="s">
        <v>42</v>
      </c>
      <c r="C574">
        <v>24</v>
      </c>
      <c r="D574">
        <v>13</v>
      </c>
      <c r="E574">
        <v>75</v>
      </c>
      <c r="F574" t="b">
        <v>1</v>
      </c>
      <c r="G574">
        <v>50.3</v>
      </c>
      <c r="H574">
        <v>72.099999999999994</v>
      </c>
      <c r="I574">
        <v>70.599999999999994</v>
      </c>
      <c r="K574">
        <v>64.333333333333329</v>
      </c>
      <c r="L574" t="s">
        <v>49</v>
      </c>
      <c r="M574">
        <v>3</v>
      </c>
      <c r="N574" t="s">
        <v>50</v>
      </c>
      <c r="O574">
        <v>15</v>
      </c>
      <c r="P574">
        <v>11</v>
      </c>
      <c r="Q574">
        <v>54</v>
      </c>
      <c r="R574" t="s">
        <v>43</v>
      </c>
      <c r="S574">
        <v>3</v>
      </c>
      <c r="T574" t="s">
        <v>44</v>
      </c>
      <c r="U574" t="s">
        <v>36</v>
      </c>
      <c r="V574">
        <v>0</v>
      </c>
      <c r="W574">
        <v>0</v>
      </c>
      <c r="X574">
        <v>1</v>
      </c>
      <c r="Y574">
        <v>11</v>
      </c>
      <c r="Z574" t="s">
        <v>37</v>
      </c>
    </row>
    <row r="575" spans="1:26" x14ac:dyDescent="0.3">
      <c r="A575" t="s">
        <v>176</v>
      </c>
      <c r="B575" t="s">
        <v>45</v>
      </c>
      <c r="C575">
        <v>33</v>
      </c>
      <c r="D575">
        <v>18</v>
      </c>
      <c r="E575">
        <v>78.787878787878782</v>
      </c>
      <c r="F575" t="b">
        <v>1</v>
      </c>
      <c r="G575">
        <v>54.5</v>
      </c>
      <c r="H575">
        <v>66</v>
      </c>
      <c r="I575">
        <v>65.3</v>
      </c>
      <c r="J575">
        <v>66.099999999999994</v>
      </c>
      <c r="K575">
        <v>62.975000000000001</v>
      </c>
      <c r="L575" t="s">
        <v>49</v>
      </c>
      <c r="M575">
        <v>3</v>
      </c>
      <c r="N575" t="s">
        <v>50</v>
      </c>
      <c r="O575">
        <v>25</v>
      </c>
      <c r="P575">
        <v>9</v>
      </c>
      <c r="Q575">
        <v>67</v>
      </c>
      <c r="R575" t="s">
        <v>46</v>
      </c>
      <c r="S575">
        <v>4</v>
      </c>
      <c r="T575" t="s">
        <v>47</v>
      </c>
      <c r="U575" t="s">
        <v>36</v>
      </c>
      <c r="V575">
        <v>0</v>
      </c>
      <c r="W575">
        <v>0</v>
      </c>
      <c r="X575">
        <v>0</v>
      </c>
      <c r="Y575">
        <v>9</v>
      </c>
      <c r="Z575" t="s">
        <v>37</v>
      </c>
    </row>
    <row r="576" spans="1:26" x14ac:dyDescent="0.3">
      <c r="A576" t="s">
        <v>177</v>
      </c>
      <c r="B576" t="s">
        <v>27</v>
      </c>
      <c r="C576">
        <v>29</v>
      </c>
      <c r="D576">
        <v>26</v>
      </c>
      <c r="E576">
        <v>62.068965517241381</v>
      </c>
      <c r="F576" t="b">
        <v>1</v>
      </c>
      <c r="G576">
        <v>76.900000000000006</v>
      </c>
      <c r="H576">
        <v>74.599999999999994</v>
      </c>
      <c r="I576">
        <v>64.5</v>
      </c>
      <c r="J576">
        <v>93.4</v>
      </c>
      <c r="K576">
        <v>77.349999999999994</v>
      </c>
      <c r="L576" t="s">
        <v>28</v>
      </c>
      <c r="M576">
        <v>3</v>
      </c>
      <c r="N576" t="s">
        <v>50</v>
      </c>
      <c r="O576">
        <v>16</v>
      </c>
      <c r="P576">
        <v>7</v>
      </c>
      <c r="Q576">
        <v>48</v>
      </c>
      <c r="R576" t="s">
        <v>30</v>
      </c>
      <c r="S576">
        <v>4</v>
      </c>
      <c r="T576" t="s">
        <v>31</v>
      </c>
      <c r="U576" t="s">
        <v>56</v>
      </c>
      <c r="V576">
        <v>1</v>
      </c>
      <c r="W576">
        <v>0</v>
      </c>
      <c r="X576">
        <v>0</v>
      </c>
      <c r="Y576">
        <v>7</v>
      </c>
      <c r="Z576" t="s">
        <v>37</v>
      </c>
    </row>
    <row r="577" spans="1:26" x14ac:dyDescent="0.3">
      <c r="A577" t="s">
        <v>177</v>
      </c>
      <c r="B577" t="s">
        <v>38</v>
      </c>
      <c r="C577">
        <v>33</v>
      </c>
      <c r="D577">
        <v>18</v>
      </c>
      <c r="E577">
        <v>75.757575757575751</v>
      </c>
      <c r="F577" t="b">
        <v>1</v>
      </c>
      <c r="G577">
        <v>100</v>
      </c>
      <c r="H577">
        <v>97.9</v>
      </c>
      <c r="I577">
        <v>86.3</v>
      </c>
      <c r="J577">
        <v>87.6</v>
      </c>
      <c r="K577">
        <v>92.95</v>
      </c>
      <c r="L577" t="s">
        <v>28</v>
      </c>
      <c r="M577">
        <v>3</v>
      </c>
      <c r="N577" t="s">
        <v>50</v>
      </c>
      <c r="O577">
        <v>20</v>
      </c>
      <c r="P577">
        <v>7</v>
      </c>
      <c r="Q577">
        <v>40</v>
      </c>
      <c r="R577" t="s">
        <v>30</v>
      </c>
      <c r="S577">
        <v>3</v>
      </c>
      <c r="T577" t="s">
        <v>39</v>
      </c>
      <c r="U577" t="s">
        <v>56</v>
      </c>
      <c r="V577">
        <v>0</v>
      </c>
      <c r="W577">
        <v>0</v>
      </c>
      <c r="X577">
        <v>0</v>
      </c>
      <c r="Y577">
        <v>7</v>
      </c>
      <c r="Z577" t="s">
        <v>37</v>
      </c>
    </row>
    <row r="578" spans="1:26" x14ac:dyDescent="0.3">
      <c r="A578" t="s">
        <v>177</v>
      </c>
      <c r="B578" t="s">
        <v>42</v>
      </c>
      <c r="C578">
        <v>29</v>
      </c>
      <c r="D578">
        <v>25</v>
      </c>
      <c r="E578">
        <v>41.379310344827587</v>
      </c>
      <c r="F578" t="b">
        <v>1</v>
      </c>
      <c r="G578">
        <v>87.8</v>
      </c>
      <c r="H578">
        <v>86.9</v>
      </c>
      <c r="I578">
        <v>100</v>
      </c>
      <c r="J578">
        <v>95.7</v>
      </c>
      <c r="K578">
        <v>92.6</v>
      </c>
      <c r="L578" t="s">
        <v>28</v>
      </c>
      <c r="M578">
        <v>3</v>
      </c>
      <c r="N578" t="s">
        <v>50</v>
      </c>
      <c r="O578">
        <v>24</v>
      </c>
      <c r="P578">
        <v>15</v>
      </c>
      <c r="Q578">
        <v>70</v>
      </c>
      <c r="R578" t="s">
        <v>43</v>
      </c>
      <c r="S578">
        <v>3</v>
      </c>
      <c r="T578" t="s">
        <v>44</v>
      </c>
      <c r="U578" t="s">
        <v>56</v>
      </c>
      <c r="V578">
        <v>1</v>
      </c>
      <c r="W578">
        <v>0</v>
      </c>
      <c r="X578">
        <v>0</v>
      </c>
      <c r="Y578">
        <v>15</v>
      </c>
      <c r="Z578" t="s">
        <v>37</v>
      </c>
    </row>
    <row r="579" spans="1:26" x14ac:dyDescent="0.3">
      <c r="A579" t="s">
        <v>177</v>
      </c>
      <c r="B579" t="s">
        <v>45</v>
      </c>
      <c r="C579">
        <v>36</v>
      </c>
      <c r="D579">
        <v>12</v>
      </c>
      <c r="E579">
        <v>66.666666666666657</v>
      </c>
      <c r="F579" t="b">
        <v>1</v>
      </c>
      <c r="G579">
        <v>60.5</v>
      </c>
      <c r="H579">
        <v>69.599999999999994</v>
      </c>
      <c r="I579">
        <v>62.1</v>
      </c>
      <c r="J579">
        <v>68.099999999999994</v>
      </c>
      <c r="K579">
        <v>65.074999999999989</v>
      </c>
      <c r="L579" t="s">
        <v>28</v>
      </c>
      <c r="M579">
        <v>3</v>
      </c>
      <c r="N579" t="s">
        <v>50</v>
      </c>
      <c r="O579">
        <v>17</v>
      </c>
      <c r="P579">
        <v>13</v>
      </c>
      <c r="Q579">
        <v>57</v>
      </c>
      <c r="R579" t="s">
        <v>46</v>
      </c>
      <c r="S579">
        <v>4</v>
      </c>
      <c r="T579" t="s">
        <v>47</v>
      </c>
      <c r="U579" t="s">
        <v>36</v>
      </c>
      <c r="V579">
        <v>1</v>
      </c>
      <c r="W579">
        <v>0</v>
      </c>
      <c r="X579">
        <v>0</v>
      </c>
      <c r="Y579">
        <v>13</v>
      </c>
      <c r="Z579" t="s">
        <v>37</v>
      </c>
    </row>
    <row r="580" spans="1:26" x14ac:dyDescent="0.3">
      <c r="D580">
        <v>24</v>
      </c>
    </row>
  </sheetData>
  <autoFilter ref="A1:Z579" xr:uid="{00000000-0009-0000-00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5" customWidth="1"/>
    <col min="3" max="3" width="27" customWidth="1"/>
    <col min="4" max="4" width="32" customWidth="1"/>
    <col min="5" max="5" width="21" customWidth="1"/>
    <col min="6" max="6" width="22" customWidth="1"/>
    <col min="7" max="7" width="19" customWidth="1"/>
  </cols>
  <sheetData>
    <row r="1" spans="1:7" ht="30" customHeight="1" x14ac:dyDescent="0.3">
      <c r="A1" s="1" t="s">
        <v>1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</row>
    <row r="2" spans="1:7" x14ac:dyDescent="0.3">
      <c r="A2" t="s">
        <v>27</v>
      </c>
      <c r="B2">
        <v>83</v>
      </c>
      <c r="C2">
        <v>68.75</v>
      </c>
      <c r="D2">
        <v>61.35</v>
      </c>
      <c r="E2">
        <v>17.440000000000001</v>
      </c>
      <c r="F2">
        <v>9.25</v>
      </c>
      <c r="G2">
        <v>50.85</v>
      </c>
    </row>
    <row r="3" spans="1:7" x14ac:dyDescent="0.3">
      <c r="A3" t="s">
        <v>51</v>
      </c>
      <c r="B3">
        <v>73</v>
      </c>
      <c r="C3">
        <v>64.64</v>
      </c>
      <c r="D3">
        <v>60.74</v>
      </c>
      <c r="E3">
        <v>17.190000000000001</v>
      </c>
      <c r="F3">
        <v>9</v>
      </c>
      <c r="G3">
        <v>49.96</v>
      </c>
    </row>
    <row r="4" spans="1:7" x14ac:dyDescent="0.3">
      <c r="A4" t="s">
        <v>34</v>
      </c>
      <c r="B4">
        <v>76</v>
      </c>
      <c r="C4">
        <v>64.78</v>
      </c>
      <c r="D4">
        <v>62.37</v>
      </c>
      <c r="E4">
        <v>16.18</v>
      </c>
      <c r="F4">
        <v>8.5500000000000007</v>
      </c>
      <c r="G4">
        <v>50.48</v>
      </c>
    </row>
    <row r="5" spans="1:7" x14ac:dyDescent="0.3">
      <c r="A5" t="s">
        <v>38</v>
      </c>
      <c r="B5">
        <v>69</v>
      </c>
      <c r="C5">
        <v>67.11</v>
      </c>
      <c r="D5">
        <v>59.26</v>
      </c>
      <c r="E5">
        <v>16.809999999999999</v>
      </c>
      <c r="F5">
        <v>8.5399999999999991</v>
      </c>
      <c r="G5">
        <v>50.44</v>
      </c>
    </row>
    <row r="6" spans="1:7" x14ac:dyDescent="0.3">
      <c r="A6" t="s">
        <v>40</v>
      </c>
      <c r="B6">
        <v>70</v>
      </c>
      <c r="C6">
        <v>66.58</v>
      </c>
      <c r="D6">
        <v>60.4</v>
      </c>
      <c r="E6">
        <v>16.579999999999998</v>
      </c>
      <c r="F6">
        <v>8.94</v>
      </c>
      <c r="G6">
        <v>49.48</v>
      </c>
    </row>
    <row r="7" spans="1:7" x14ac:dyDescent="0.3">
      <c r="A7" t="s">
        <v>57</v>
      </c>
      <c r="B7">
        <v>69</v>
      </c>
      <c r="C7">
        <v>67.53</v>
      </c>
      <c r="D7">
        <v>62.72</v>
      </c>
      <c r="E7">
        <v>18.11</v>
      </c>
      <c r="F7">
        <v>8.25</v>
      </c>
      <c r="G7">
        <v>53.18</v>
      </c>
    </row>
    <row r="8" spans="1:7" x14ac:dyDescent="0.3">
      <c r="A8" t="s">
        <v>42</v>
      </c>
      <c r="B8">
        <v>73</v>
      </c>
      <c r="C8">
        <v>65.099999999999994</v>
      </c>
      <c r="D8">
        <v>62.08</v>
      </c>
      <c r="E8">
        <v>17.11</v>
      </c>
      <c r="F8">
        <v>8.67</v>
      </c>
      <c r="G8">
        <v>53.14</v>
      </c>
    </row>
    <row r="9" spans="1:7" x14ac:dyDescent="0.3">
      <c r="A9" t="s">
        <v>45</v>
      </c>
      <c r="B9">
        <v>65</v>
      </c>
      <c r="C9">
        <v>65.010000000000005</v>
      </c>
      <c r="D9">
        <v>61.77</v>
      </c>
      <c r="E9">
        <v>16.45</v>
      </c>
      <c r="F9">
        <v>8.9499999999999993</v>
      </c>
      <c r="G9">
        <v>48.49</v>
      </c>
    </row>
  </sheetData>
  <autoFilter ref="A1:G9" xr:uid="{00000000-0009-0000-0000-000001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9"/>
  <sheetViews>
    <sheetView topLeftCell="B1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3" customWidth="1"/>
    <col min="2" max="2" width="14" customWidth="1"/>
    <col min="3" max="3" width="16" customWidth="1"/>
    <col min="4" max="4" width="20" customWidth="1"/>
    <col min="5" max="5" width="24" customWidth="1"/>
    <col min="6" max="6" width="19" customWidth="1"/>
    <col min="7" max="7" width="22" customWidth="1"/>
    <col min="8" max="8" width="2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  <c r="H1" s="1" t="s">
        <v>184</v>
      </c>
    </row>
    <row r="2" spans="1:8" x14ac:dyDescent="0.3">
      <c r="A2" t="s">
        <v>26</v>
      </c>
      <c r="B2" t="s">
        <v>27</v>
      </c>
      <c r="C2">
        <v>27</v>
      </c>
      <c r="D2">
        <v>20</v>
      </c>
      <c r="E2">
        <v>74.074074074074076</v>
      </c>
      <c r="F2" t="b">
        <v>1</v>
      </c>
      <c r="G2">
        <v>1</v>
      </c>
      <c r="H2" t="s">
        <v>185</v>
      </c>
    </row>
    <row r="3" spans="1:8" x14ac:dyDescent="0.3">
      <c r="A3" t="s">
        <v>26</v>
      </c>
      <c r="B3" t="s">
        <v>34</v>
      </c>
      <c r="C3">
        <v>38</v>
      </c>
      <c r="D3">
        <v>24</v>
      </c>
      <c r="E3">
        <v>63.157894736842103</v>
      </c>
      <c r="F3" t="b">
        <v>1</v>
      </c>
      <c r="G3">
        <v>1</v>
      </c>
      <c r="H3" t="s">
        <v>185</v>
      </c>
    </row>
    <row r="4" spans="1:8" x14ac:dyDescent="0.3">
      <c r="A4" t="s">
        <v>26</v>
      </c>
      <c r="B4" t="s">
        <v>38</v>
      </c>
      <c r="C4">
        <v>36</v>
      </c>
      <c r="D4">
        <v>14</v>
      </c>
      <c r="E4">
        <v>38.888888888888893</v>
      </c>
      <c r="F4" t="b">
        <v>1</v>
      </c>
      <c r="G4">
        <v>1</v>
      </c>
      <c r="H4" t="s">
        <v>185</v>
      </c>
    </row>
    <row r="5" spans="1:8" x14ac:dyDescent="0.3">
      <c r="A5" t="s">
        <v>26</v>
      </c>
      <c r="B5" t="s">
        <v>40</v>
      </c>
      <c r="C5">
        <v>24</v>
      </c>
      <c r="D5">
        <v>13</v>
      </c>
      <c r="E5">
        <v>54.166666666666657</v>
      </c>
      <c r="F5" t="b">
        <v>1</v>
      </c>
      <c r="G5">
        <v>1</v>
      </c>
      <c r="H5" t="s">
        <v>185</v>
      </c>
    </row>
    <row r="6" spans="1:8" x14ac:dyDescent="0.3">
      <c r="A6" t="s">
        <v>26</v>
      </c>
      <c r="B6" t="s">
        <v>42</v>
      </c>
      <c r="C6">
        <v>35</v>
      </c>
      <c r="D6">
        <v>16</v>
      </c>
      <c r="E6">
        <v>45.714285714285722</v>
      </c>
      <c r="F6" t="b">
        <v>1</v>
      </c>
      <c r="G6">
        <v>1</v>
      </c>
      <c r="H6" t="s">
        <v>185</v>
      </c>
    </row>
    <row r="7" spans="1:8" x14ac:dyDescent="0.3">
      <c r="A7" t="s">
        <v>26</v>
      </c>
      <c r="B7" t="s">
        <v>45</v>
      </c>
      <c r="C7">
        <v>24</v>
      </c>
      <c r="D7">
        <v>17</v>
      </c>
      <c r="E7">
        <v>70.833333333333343</v>
      </c>
      <c r="F7" t="b">
        <v>1</v>
      </c>
      <c r="G7">
        <v>1</v>
      </c>
      <c r="H7" t="s">
        <v>185</v>
      </c>
    </row>
    <row r="8" spans="1:8" x14ac:dyDescent="0.3">
      <c r="A8" t="s">
        <v>48</v>
      </c>
      <c r="B8" t="s">
        <v>27</v>
      </c>
      <c r="C8">
        <v>30</v>
      </c>
      <c r="D8">
        <v>14</v>
      </c>
      <c r="E8">
        <v>46.666666666666657</v>
      </c>
      <c r="F8" t="b">
        <v>1</v>
      </c>
      <c r="G8">
        <v>1</v>
      </c>
      <c r="H8" t="s">
        <v>185</v>
      </c>
    </row>
    <row r="9" spans="1:8" x14ac:dyDescent="0.3">
      <c r="A9" t="s">
        <v>48</v>
      </c>
      <c r="B9" t="s">
        <v>51</v>
      </c>
      <c r="C9">
        <v>37</v>
      </c>
      <c r="D9">
        <v>19</v>
      </c>
      <c r="E9">
        <v>51.351351351351347</v>
      </c>
      <c r="F9" t="b">
        <v>1</v>
      </c>
      <c r="G9">
        <v>1</v>
      </c>
      <c r="H9" t="s">
        <v>185</v>
      </c>
    </row>
    <row r="10" spans="1:8" x14ac:dyDescent="0.3">
      <c r="A10" t="s">
        <v>48</v>
      </c>
      <c r="B10" t="s">
        <v>34</v>
      </c>
      <c r="C10">
        <v>26</v>
      </c>
      <c r="D10">
        <v>13</v>
      </c>
      <c r="E10">
        <v>50</v>
      </c>
      <c r="F10" t="b">
        <v>1</v>
      </c>
      <c r="G10">
        <v>1</v>
      </c>
      <c r="H10" t="s">
        <v>185</v>
      </c>
    </row>
    <row r="11" spans="1:8" x14ac:dyDescent="0.3">
      <c r="A11" t="s">
        <v>48</v>
      </c>
      <c r="B11" t="s">
        <v>45</v>
      </c>
      <c r="C11">
        <v>26</v>
      </c>
      <c r="D11">
        <v>18</v>
      </c>
      <c r="E11">
        <v>69.230769230769226</v>
      </c>
      <c r="F11" t="b">
        <v>1</v>
      </c>
      <c r="G11">
        <v>1</v>
      </c>
      <c r="H11" t="s">
        <v>185</v>
      </c>
    </row>
    <row r="12" spans="1:8" x14ac:dyDescent="0.3">
      <c r="A12" t="s">
        <v>53</v>
      </c>
      <c r="B12" t="s">
        <v>27</v>
      </c>
      <c r="C12">
        <v>40</v>
      </c>
      <c r="D12">
        <v>25</v>
      </c>
      <c r="E12">
        <v>62.5</v>
      </c>
      <c r="F12" t="b">
        <v>1</v>
      </c>
      <c r="G12">
        <v>1</v>
      </c>
      <c r="H12" t="s">
        <v>185</v>
      </c>
    </row>
    <row r="13" spans="1:8" x14ac:dyDescent="0.3">
      <c r="A13" t="s">
        <v>53</v>
      </c>
      <c r="B13" t="s">
        <v>51</v>
      </c>
      <c r="C13">
        <v>38</v>
      </c>
      <c r="D13">
        <v>25</v>
      </c>
      <c r="E13">
        <v>65.789473684210535</v>
      </c>
      <c r="F13" t="b">
        <v>1</v>
      </c>
      <c r="G13">
        <v>1</v>
      </c>
      <c r="H13" t="s">
        <v>185</v>
      </c>
    </row>
    <row r="14" spans="1:8" x14ac:dyDescent="0.3">
      <c r="A14" t="s">
        <v>53</v>
      </c>
      <c r="B14" t="s">
        <v>34</v>
      </c>
      <c r="C14">
        <v>31</v>
      </c>
      <c r="D14">
        <v>17</v>
      </c>
      <c r="E14">
        <v>54.838709677419352</v>
      </c>
      <c r="F14" t="b">
        <v>1</v>
      </c>
      <c r="G14">
        <v>1</v>
      </c>
      <c r="H14" t="s">
        <v>185</v>
      </c>
    </row>
    <row r="15" spans="1:8" x14ac:dyDescent="0.3">
      <c r="A15" t="s">
        <v>53</v>
      </c>
      <c r="B15" t="s">
        <v>38</v>
      </c>
      <c r="C15">
        <v>32</v>
      </c>
      <c r="D15">
        <v>25</v>
      </c>
      <c r="E15">
        <v>78.125</v>
      </c>
      <c r="F15" t="b">
        <v>1</v>
      </c>
      <c r="G15">
        <v>0</v>
      </c>
      <c r="H15" t="s">
        <v>186</v>
      </c>
    </row>
    <row r="16" spans="1:8" x14ac:dyDescent="0.3">
      <c r="A16" t="s">
        <v>53</v>
      </c>
      <c r="B16" t="s">
        <v>57</v>
      </c>
      <c r="C16">
        <v>31</v>
      </c>
      <c r="D16">
        <v>24</v>
      </c>
      <c r="E16">
        <v>77.41935483870968</v>
      </c>
      <c r="F16" t="b">
        <v>1</v>
      </c>
      <c r="G16">
        <v>0</v>
      </c>
      <c r="H16" t="s">
        <v>186</v>
      </c>
    </row>
    <row r="17" spans="1:8" x14ac:dyDescent="0.3">
      <c r="A17" t="s">
        <v>53</v>
      </c>
      <c r="B17" t="s">
        <v>45</v>
      </c>
      <c r="C17">
        <v>30</v>
      </c>
      <c r="D17">
        <v>25</v>
      </c>
      <c r="E17">
        <v>83.333333333333343</v>
      </c>
      <c r="F17" t="b">
        <v>1</v>
      </c>
      <c r="G17">
        <v>0</v>
      </c>
      <c r="H17" t="s">
        <v>186</v>
      </c>
    </row>
    <row r="18" spans="1:8" x14ac:dyDescent="0.3">
      <c r="A18" t="s">
        <v>59</v>
      </c>
      <c r="B18" t="s">
        <v>34</v>
      </c>
      <c r="C18">
        <v>38</v>
      </c>
      <c r="D18">
        <v>22</v>
      </c>
      <c r="E18">
        <v>57.894736842105267</v>
      </c>
      <c r="F18" t="b">
        <v>1</v>
      </c>
      <c r="G18">
        <v>1</v>
      </c>
      <c r="H18" t="s">
        <v>185</v>
      </c>
    </row>
    <row r="19" spans="1:8" x14ac:dyDescent="0.3">
      <c r="A19" t="s">
        <v>59</v>
      </c>
      <c r="B19" t="s">
        <v>38</v>
      </c>
      <c r="C19">
        <v>35</v>
      </c>
      <c r="D19">
        <v>27</v>
      </c>
      <c r="E19">
        <v>77.142857142857153</v>
      </c>
      <c r="F19" t="b">
        <v>1</v>
      </c>
      <c r="G19">
        <v>0</v>
      </c>
      <c r="H19" t="s">
        <v>186</v>
      </c>
    </row>
    <row r="20" spans="1:8" x14ac:dyDescent="0.3">
      <c r="A20" t="s">
        <v>59</v>
      </c>
      <c r="B20" t="s">
        <v>40</v>
      </c>
      <c r="C20">
        <v>26</v>
      </c>
      <c r="D20">
        <v>17</v>
      </c>
      <c r="E20">
        <v>65.384615384615387</v>
      </c>
      <c r="F20" t="b">
        <v>1</v>
      </c>
      <c r="G20">
        <v>1</v>
      </c>
      <c r="H20" t="s">
        <v>185</v>
      </c>
    </row>
    <row r="21" spans="1:8" x14ac:dyDescent="0.3">
      <c r="A21" t="s">
        <v>59</v>
      </c>
      <c r="B21" t="s">
        <v>42</v>
      </c>
      <c r="C21">
        <v>34</v>
      </c>
      <c r="D21">
        <v>22</v>
      </c>
      <c r="E21">
        <v>64.705882352941174</v>
      </c>
      <c r="F21" t="b">
        <v>1</v>
      </c>
      <c r="G21">
        <v>1</v>
      </c>
      <c r="H21" t="s">
        <v>185</v>
      </c>
    </row>
    <row r="22" spans="1:8" x14ac:dyDescent="0.3">
      <c r="A22" t="s">
        <v>59</v>
      </c>
      <c r="B22" t="s">
        <v>45</v>
      </c>
      <c r="C22">
        <v>40</v>
      </c>
      <c r="D22">
        <v>24</v>
      </c>
      <c r="E22">
        <v>60</v>
      </c>
      <c r="F22" t="b">
        <v>1</v>
      </c>
      <c r="G22">
        <v>1</v>
      </c>
      <c r="H22" t="s">
        <v>185</v>
      </c>
    </row>
    <row r="23" spans="1:8" x14ac:dyDescent="0.3">
      <c r="A23" t="s">
        <v>60</v>
      </c>
      <c r="B23" t="s">
        <v>27</v>
      </c>
      <c r="C23">
        <v>35</v>
      </c>
      <c r="D23">
        <v>23</v>
      </c>
      <c r="E23">
        <v>65.714285714285708</v>
      </c>
      <c r="F23" t="b">
        <v>1</v>
      </c>
      <c r="G23">
        <v>1</v>
      </c>
      <c r="H23" t="s">
        <v>185</v>
      </c>
    </row>
    <row r="24" spans="1:8" x14ac:dyDescent="0.3">
      <c r="A24" t="s">
        <v>60</v>
      </c>
      <c r="B24" t="s">
        <v>51</v>
      </c>
      <c r="C24">
        <v>32</v>
      </c>
      <c r="D24">
        <v>19</v>
      </c>
      <c r="E24">
        <v>59.375</v>
      </c>
      <c r="F24" t="b">
        <v>1</v>
      </c>
      <c r="G24">
        <v>1</v>
      </c>
      <c r="H24" t="s">
        <v>185</v>
      </c>
    </row>
    <row r="25" spans="1:8" x14ac:dyDescent="0.3">
      <c r="A25" t="s">
        <v>60</v>
      </c>
      <c r="B25" t="s">
        <v>51</v>
      </c>
      <c r="C25">
        <v>32</v>
      </c>
      <c r="D25">
        <v>19</v>
      </c>
      <c r="E25">
        <v>59.375</v>
      </c>
      <c r="F25" t="b">
        <v>1</v>
      </c>
      <c r="G25">
        <v>1</v>
      </c>
      <c r="H25" t="s">
        <v>185</v>
      </c>
    </row>
    <row r="26" spans="1:8" x14ac:dyDescent="0.3">
      <c r="A26" t="s">
        <v>60</v>
      </c>
      <c r="B26" t="s">
        <v>34</v>
      </c>
      <c r="C26">
        <v>37</v>
      </c>
      <c r="D26">
        <v>27</v>
      </c>
      <c r="E26">
        <v>72.972972972972968</v>
      </c>
      <c r="F26" t="b">
        <v>1</v>
      </c>
      <c r="G26">
        <v>1</v>
      </c>
      <c r="H26" t="s">
        <v>185</v>
      </c>
    </row>
    <row r="27" spans="1:8" x14ac:dyDescent="0.3">
      <c r="A27" t="s">
        <v>60</v>
      </c>
      <c r="B27" t="s">
        <v>38</v>
      </c>
      <c r="C27">
        <v>33</v>
      </c>
      <c r="D27">
        <v>24</v>
      </c>
      <c r="E27">
        <v>72.727272727272734</v>
      </c>
      <c r="F27" t="b">
        <v>1</v>
      </c>
      <c r="G27">
        <v>1</v>
      </c>
      <c r="H27" t="s">
        <v>185</v>
      </c>
    </row>
    <row r="28" spans="1:8" x14ac:dyDescent="0.3">
      <c r="A28" t="s">
        <v>60</v>
      </c>
      <c r="B28" t="s">
        <v>42</v>
      </c>
      <c r="C28">
        <v>36</v>
      </c>
      <c r="D28">
        <v>21</v>
      </c>
      <c r="E28">
        <v>58.333333333333343</v>
      </c>
      <c r="F28" t="b">
        <v>1</v>
      </c>
      <c r="G28">
        <v>1</v>
      </c>
      <c r="H28" t="s">
        <v>185</v>
      </c>
    </row>
    <row r="29" spans="1:8" x14ac:dyDescent="0.3">
      <c r="A29" t="s">
        <v>60</v>
      </c>
      <c r="B29" t="s">
        <v>45</v>
      </c>
      <c r="C29">
        <v>31</v>
      </c>
      <c r="D29">
        <v>21</v>
      </c>
      <c r="E29">
        <v>67.741935483870961</v>
      </c>
      <c r="F29" t="b">
        <v>1</v>
      </c>
      <c r="G29">
        <v>1</v>
      </c>
      <c r="H29" t="s">
        <v>185</v>
      </c>
    </row>
    <row r="30" spans="1:8" x14ac:dyDescent="0.3">
      <c r="A30" t="s">
        <v>62</v>
      </c>
      <c r="B30" t="s">
        <v>51</v>
      </c>
      <c r="C30">
        <v>36</v>
      </c>
      <c r="D30">
        <v>25</v>
      </c>
      <c r="E30">
        <v>69.444444444444443</v>
      </c>
      <c r="F30" t="b">
        <v>1</v>
      </c>
      <c r="G30">
        <v>1</v>
      </c>
      <c r="H30" t="s">
        <v>185</v>
      </c>
    </row>
    <row r="31" spans="1:8" x14ac:dyDescent="0.3">
      <c r="A31" t="s">
        <v>62</v>
      </c>
      <c r="B31" t="s">
        <v>34</v>
      </c>
      <c r="C31">
        <v>40</v>
      </c>
      <c r="D31">
        <v>29</v>
      </c>
      <c r="E31">
        <v>72.5</v>
      </c>
      <c r="F31" t="b">
        <v>1</v>
      </c>
      <c r="G31">
        <v>1</v>
      </c>
      <c r="H31" t="s">
        <v>185</v>
      </c>
    </row>
    <row r="32" spans="1:8" x14ac:dyDescent="0.3">
      <c r="A32" t="s">
        <v>62</v>
      </c>
      <c r="B32" t="s">
        <v>40</v>
      </c>
      <c r="C32">
        <v>27</v>
      </c>
      <c r="D32">
        <v>16</v>
      </c>
      <c r="E32">
        <v>59.259259259259252</v>
      </c>
      <c r="F32" t="b">
        <v>1</v>
      </c>
      <c r="G32">
        <v>1</v>
      </c>
      <c r="H32" t="s">
        <v>185</v>
      </c>
    </row>
    <row r="33" spans="1:8" x14ac:dyDescent="0.3">
      <c r="A33" t="s">
        <v>62</v>
      </c>
      <c r="B33" t="s">
        <v>57</v>
      </c>
      <c r="C33">
        <v>36</v>
      </c>
      <c r="D33">
        <v>21</v>
      </c>
      <c r="E33">
        <v>58.333333333333343</v>
      </c>
      <c r="F33" t="b">
        <v>1</v>
      </c>
      <c r="G33">
        <v>1</v>
      </c>
      <c r="H33" t="s">
        <v>185</v>
      </c>
    </row>
    <row r="34" spans="1:8" x14ac:dyDescent="0.3">
      <c r="A34" t="s">
        <v>62</v>
      </c>
      <c r="B34" t="s">
        <v>45</v>
      </c>
      <c r="C34">
        <v>32</v>
      </c>
      <c r="D34">
        <v>13</v>
      </c>
      <c r="E34">
        <v>40.625</v>
      </c>
      <c r="F34" t="b">
        <v>1</v>
      </c>
      <c r="G34">
        <v>1</v>
      </c>
      <c r="H34" t="s">
        <v>185</v>
      </c>
    </row>
    <row r="35" spans="1:8" x14ac:dyDescent="0.3">
      <c r="A35" t="s">
        <v>63</v>
      </c>
      <c r="B35" t="s">
        <v>34</v>
      </c>
      <c r="C35">
        <v>38</v>
      </c>
      <c r="D35">
        <v>12</v>
      </c>
      <c r="E35">
        <v>31.578947368421051</v>
      </c>
      <c r="F35" t="b">
        <v>1</v>
      </c>
      <c r="G35">
        <v>1</v>
      </c>
      <c r="H35" t="s">
        <v>185</v>
      </c>
    </row>
    <row r="36" spans="1:8" x14ac:dyDescent="0.3">
      <c r="A36" t="s">
        <v>63</v>
      </c>
      <c r="B36" t="s">
        <v>38</v>
      </c>
      <c r="C36">
        <v>40</v>
      </c>
      <c r="D36">
        <v>24</v>
      </c>
      <c r="E36">
        <v>60</v>
      </c>
      <c r="F36" t="b">
        <v>1</v>
      </c>
      <c r="G36">
        <v>1</v>
      </c>
      <c r="H36" t="s">
        <v>185</v>
      </c>
    </row>
    <row r="37" spans="1:8" x14ac:dyDescent="0.3">
      <c r="A37" t="s">
        <v>63</v>
      </c>
      <c r="B37" t="s">
        <v>40</v>
      </c>
      <c r="C37">
        <v>39</v>
      </c>
      <c r="D37">
        <v>20</v>
      </c>
      <c r="E37">
        <v>51.282051282051277</v>
      </c>
      <c r="F37" t="b">
        <v>1</v>
      </c>
      <c r="G37">
        <v>1</v>
      </c>
      <c r="H37" t="s">
        <v>185</v>
      </c>
    </row>
    <row r="38" spans="1:8" x14ac:dyDescent="0.3">
      <c r="A38" t="s">
        <v>63</v>
      </c>
      <c r="B38" t="s">
        <v>45</v>
      </c>
      <c r="C38">
        <v>31</v>
      </c>
      <c r="D38">
        <v>19</v>
      </c>
      <c r="E38">
        <v>61.29032258064516</v>
      </c>
      <c r="F38" t="b">
        <v>1</v>
      </c>
      <c r="G38">
        <v>1</v>
      </c>
      <c r="H38" t="s">
        <v>185</v>
      </c>
    </row>
    <row r="39" spans="1:8" x14ac:dyDescent="0.3">
      <c r="A39" t="s">
        <v>64</v>
      </c>
      <c r="B39" t="s">
        <v>27</v>
      </c>
      <c r="C39">
        <v>37</v>
      </c>
      <c r="D39">
        <v>18</v>
      </c>
      <c r="E39">
        <v>48.648648648648653</v>
      </c>
      <c r="F39" t="b">
        <v>1</v>
      </c>
      <c r="G39">
        <v>1</v>
      </c>
      <c r="H39" t="s">
        <v>185</v>
      </c>
    </row>
    <row r="40" spans="1:8" x14ac:dyDescent="0.3">
      <c r="A40" t="s">
        <v>64</v>
      </c>
      <c r="B40" t="s">
        <v>51</v>
      </c>
      <c r="C40">
        <v>37</v>
      </c>
      <c r="D40">
        <v>16</v>
      </c>
      <c r="E40">
        <v>43.243243243243242</v>
      </c>
      <c r="F40" t="b">
        <v>1</v>
      </c>
      <c r="G40">
        <v>1</v>
      </c>
      <c r="H40" t="s">
        <v>185</v>
      </c>
    </row>
    <row r="41" spans="1:8" x14ac:dyDescent="0.3">
      <c r="A41" t="s">
        <v>64</v>
      </c>
      <c r="B41" t="s">
        <v>34</v>
      </c>
      <c r="C41">
        <v>36</v>
      </c>
      <c r="D41">
        <v>27</v>
      </c>
      <c r="E41">
        <v>75</v>
      </c>
      <c r="F41" t="b">
        <v>1</v>
      </c>
      <c r="G41">
        <v>0</v>
      </c>
      <c r="H41" t="s">
        <v>186</v>
      </c>
    </row>
    <row r="42" spans="1:8" x14ac:dyDescent="0.3">
      <c r="A42" t="s">
        <v>64</v>
      </c>
      <c r="B42" t="s">
        <v>40</v>
      </c>
      <c r="C42">
        <v>37</v>
      </c>
      <c r="D42">
        <v>24</v>
      </c>
      <c r="E42">
        <v>64.86486486486487</v>
      </c>
      <c r="F42" t="b">
        <v>1</v>
      </c>
      <c r="G42">
        <v>1</v>
      </c>
      <c r="H42" t="s">
        <v>185</v>
      </c>
    </row>
    <row r="43" spans="1:8" x14ac:dyDescent="0.3">
      <c r="A43" t="s">
        <v>64</v>
      </c>
      <c r="B43" t="s">
        <v>42</v>
      </c>
      <c r="C43">
        <v>24</v>
      </c>
      <c r="D43">
        <v>17</v>
      </c>
      <c r="E43">
        <v>70.833333333333343</v>
      </c>
      <c r="F43" t="b">
        <v>1</v>
      </c>
      <c r="G43">
        <v>1</v>
      </c>
      <c r="H43" t="s">
        <v>185</v>
      </c>
    </row>
    <row r="44" spans="1:8" x14ac:dyDescent="0.3">
      <c r="A44" t="s">
        <v>65</v>
      </c>
      <c r="B44" t="s">
        <v>27</v>
      </c>
      <c r="C44">
        <v>31</v>
      </c>
      <c r="D44">
        <v>15</v>
      </c>
      <c r="E44">
        <v>48.387096774193552</v>
      </c>
      <c r="F44" t="b">
        <v>1</v>
      </c>
      <c r="G44">
        <v>1</v>
      </c>
      <c r="H44" t="s">
        <v>185</v>
      </c>
    </row>
    <row r="45" spans="1:8" x14ac:dyDescent="0.3">
      <c r="A45" t="s">
        <v>65</v>
      </c>
      <c r="B45" t="s">
        <v>34</v>
      </c>
      <c r="C45">
        <v>28</v>
      </c>
      <c r="D45">
        <v>19</v>
      </c>
      <c r="E45">
        <v>67.857142857142861</v>
      </c>
      <c r="F45" t="b">
        <v>1</v>
      </c>
      <c r="G45">
        <v>1</v>
      </c>
      <c r="H45" t="s">
        <v>185</v>
      </c>
    </row>
    <row r="46" spans="1:8" x14ac:dyDescent="0.3">
      <c r="A46" t="s">
        <v>65</v>
      </c>
      <c r="B46" t="s">
        <v>57</v>
      </c>
      <c r="C46">
        <v>28</v>
      </c>
      <c r="D46">
        <v>15</v>
      </c>
      <c r="E46">
        <v>53.571428571428569</v>
      </c>
      <c r="F46" t="b">
        <v>1</v>
      </c>
      <c r="G46">
        <v>1</v>
      </c>
      <c r="H46" t="s">
        <v>185</v>
      </c>
    </row>
    <row r="47" spans="1:8" x14ac:dyDescent="0.3">
      <c r="A47" t="s">
        <v>65</v>
      </c>
      <c r="B47" t="s">
        <v>45</v>
      </c>
      <c r="C47">
        <v>38</v>
      </c>
      <c r="D47">
        <v>20</v>
      </c>
      <c r="E47">
        <v>52.631578947368418</v>
      </c>
      <c r="F47" t="b">
        <v>1</v>
      </c>
      <c r="G47">
        <v>1</v>
      </c>
      <c r="H47" t="s">
        <v>185</v>
      </c>
    </row>
    <row r="48" spans="1:8" x14ac:dyDescent="0.3">
      <c r="A48" t="s">
        <v>66</v>
      </c>
      <c r="B48" t="s">
        <v>38</v>
      </c>
      <c r="C48">
        <v>37</v>
      </c>
      <c r="D48">
        <v>25</v>
      </c>
      <c r="E48">
        <v>67.567567567567565</v>
      </c>
      <c r="F48" t="b">
        <v>1</v>
      </c>
      <c r="G48">
        <v>1</v>
      </c>
      <c r="H48" t="s">
        <v>185</v>
      </c>
    </row>
    <row r="49" spans="1:8" x14ac:dyDescent="0.3">
      <c r="A49" t="s">
        <v>66</v>
      </c>
      <c r="B49" t="s">
        <v>40</v>
      </c>
      <c r="C49">
        <v>27</v>
      </c>
      <c r="D49">
        <v>19</v>
      </c>
      <c r="E49">
        <v>70.370370370370367</v>
      </c>
      <c r="F49" t="b">
        <v>1</v>
      </c>
      <c r="G49">
        <v>1</v>
      </c>
      <c r="H49" t="s">
        <v>185</v>
      </c>
    </row>
    <row r="50" spans="1:8" x14ac:dyDescent="0.3">
      <c r="A50" t="s">
        <v>66</v>
      </c>
      <c r="B50" t="s">
        <v>42</v>
      </c>
      <c r="C50">
        <v>25</v>
      </c>
      <c r="D50">
        <v>16</v>
      </c>
      <c r="E50">
        <v>64</v>
      </c>
      <c r="F50" t="b">
        <v>1</v>
      </c>
      <c r="G50">
        <v>1</v>
      </c>
      <c r="H50" t="s">
        <v>185</v>
      </c>
    </row>
    <row r="51" spans="1:8" x14ac:dyDescent="0.3">
      <c r="A51" t="s">
        <v>66</v>
      </c>
      <c r="B51" t="s">
        <v>45</v>
      </c>
      <c r="C51">
        <v>36</v>
      </c>
      <c r="D51">
        <v>29</v>
      </c>
      <c r="E51">
        <v>80.555555555555557</v>
      </c>
      <c r="F51" t="b">
        <v>1</v>
      </c>
      <c r="G51">
        <v>0</v>
      </c>
      <c r="H51" t="s">
        <v>186</v>
      </c>
    </row>
    <row r="52" spans="1:8" x14ac:dyDescent="0.3">
      <c r="A52" t="s">
        <v>67</v>
      </c>
      <c r="B52" t="s">
        <v>27</v>
      </c>
      <c r="C52">
        <v>25</v>
      </c>
      <c r="D52">
        <v>14</v>
      </c>
      <c r="E52">
        <v>56.000000000000007</v>
      </c>
      <c r="F52" t="b">
        <v>1</v>
      </c>
      <c r="G52">
        <v>1</v>
      </c>
      <c r="H52" t="s">
        <v>185</v>
      </c>
    </row>
    <row r="53" spans="1:8" x14ac:dyDescent="0.3">
      <c r="A53" t="s">
        <v>67</v>
      </c>
      <c r="B53" t="s">
        <v>51</v>
      </c>
      <c r="C53">
        <v>34</v>
      </c>
      <c r="D53">
        <v>29</v>
      </c>
      <c r="E53">
        <v>85.294117647058826</v>
      </c>
      <c r="F53" t="b">
        <v>1</v>
      </c>
      <c r="G53">
        <v>0</v>
      </c>
      <c r="H53" t="s">
        <v>186</v>
      </c>
    </row>
    <row r="54" spans="1:8" x14ac:dyDescent="0.3">
      <c r="A54" t="s">
        <v>67</v>
      </c>
      <c r="B54" t="s">
        <v>34</v>
      </c>
      <c r="C54">
        <v>26</v>
      </c>
      <c r="D54">
        <v>19</v>
      </c>
      <c r="E54">
        <v>73.076923076923066</v>
      </c>
      <c r="F54" t="b">
        <v>1</v>
      </c>
      <c r="G54">
        <v>1</v>
      </c>
      <c r="H54" t="s">
        <v>185</v>
      </c>
    </row>
    <row r="55" spans="1:8" x14ac:dyDescent="0.3">
      <c r="A55" t="s">
        <v>67</v>
      </c>
      <c r="B55" t="s">
        <v>40</v>
      </c>
      <c r="C55">
        <v>30</v>
      </c>
      <c r="D55">
        <v>22</v>
      </c>
      <c r="E55">
        <v>73.333333333333329</v>
      </c>
      <c r="F55" t="b">
        <v>1</v>
      </c>
      <c r="G55">
        <v>1</v>
      </c>
      <c r="H55" t="s">
        <v>185</v>
      </c>
    </row>
    <row r="56" spans="1:8" x14ac:dyDescent="0.3">
      <c r="A56" t="s">
        <v>69</v>
      </c>
      <c r="B56" t="s">
        <v>27</v>
      </c>
      <c r="C56">
        <v>26</v>
      </c>
      <c r="D56">
        <v>21</v>
      </c>
      <c r="E56">
        <v>80.769230769230774</v>
      </c>
      <c r="F56" t="b">
        <v>1</v>
      </c>
      <c r="G56">
        <v>0</v>
      </c>
      <c r="H56" t="s">
        <v>186</v>
      </c>
    </row>
    <row r="57" spans="1:8" x14ac:dyDescent="0.3">
      <c r="A57" t="s">
        <v>69</v>
      </c>
      <c r="B57" t="s">
        <v>34</v>
      </c>
      <c r="C57">
        <v>38</v>
      </c>
      <c r="D57">
        <v>31</v>
      </c>
      <c r="E57">
        <v>81.578947368421055</v>
      </c>
      <c r="F57" t="b">
        <v>1</v>
      </c>
      <c r="G57">
        <v>0</v>
      </c>
      <c r="H57" t="s">
        <v>186</v>
      </c>
    </row>
    <row r="58" spans="1:8" x14ac:dyDescent="0.3">
      <c r="A58" t="s">
        <v>69</v>
      </c>
      <c r="B58" t="s">
        <v>38</v>
      </c>
      <c r="C58">
        <v>28</v>
      </c>
      <c r="D58">
        <v>18</v>
      </c>
      <c r="E58">
        <v>64.285714285714292</v>
      </c>
      <c r="F58" t="b">
        <v>1</v>
      </c>
      <c r="G58">
        <v>1</v>
      </c>
      <c r="H58" t="s">
        <v>185</v>
      </c>
    </row>
    <row r="59" spans="1:8" x14ac:dyDescent="0.3">
      <c r="A59" t="s">
        <v>69</v>
      </c>
      <c r="B59" t="s">
        <v>40</v>
      </c>
      <c r="C59">
        <v>30</v>
      </c>
      <c r="D59">
        <v>21</v>
      </c>
      <c r="E59">
        <v>70</v>
      </c>
      <c r="F59" t="b">
        <v>1</v>
      </c>
      <c r="G59">
        <v>1</v>
      </c>
      <c r="H59" t="s">
        <v>185</v>
      </c>
    </row>
    <row r="60" spans="1:8" x14ac:dyDescent="0.3">
      <c r="A60" t="s">
        <v>69</v>
      </c>
      <c r="B60" t="s">
        <v>57</v>
      </c>
      <c r="C60">
        <v>37</v>
      </c>
      <c r="D60">
        <v>25</v>
      </c>
      <c r="E60">
        <v>67.567567567567565</v>
      </c>
      <c r="F60" t="b">
        <v>1</v>
      </c>
      <c r="G60">
        <v>1</v>
      </c>
      <c r="H60" t="s">
        <v>185</v>
      </c>
    </row>
    <row r="61" spans="1:8" x14ac:dyDescent="0.3">
      <c r="A61" t="s">
        <v>69</v>
      </c>
      <c r="B61" t="s">
        <v>42</v>
      </c>
      <c r="C61">
        <v>26</v>
      </c>
      <c r="D61">
        <v>6</v>
      </c>
      <c r="E61">
        <v>23.07692307692308</v>
      </c>
      <c r="F61" t="b">
        <v>1</v>
      </c>
      <c r="G61">
        <v>1</v>
      </c>
      <c r="H61" t="s">
        <v>185</v>
      </c>
    </row>
    <row r="62" spans="1:8" x14ac:dyDescent="0.3">
      <c r="A62" t="s">
        <v>70</v>
      </c>
      <c r="B62" t="s">
        <v>27</v>
      </c>
      <c r="C62">
        <v>39</v>
      </c>
      <c r="D62">
        <v>31</v>
      </c>
      <c r="E62">
        <v>79.487179487179489</v>
      </c>
      <c r="F62" t="b">
        <v>1</v>
      </c>
      <c r="G62">
        <v>0</v>
      </c>
      <c r="H62" t="s">
        <v>186</v>
      </c>
    </row>
    <row r="63" spans="1:8" x14ac:dyDescent="0.3">
      <c r="A63" t="s">
        <v>70</v>
      </c>
      <c r="B63" t="s">
        <v>34</v>
      </c>
      <c r="C63">
        <v>30</v>
      </c>
      <c r="D63">
        <v>25</v>
      </c>
      <c r="E63">
        <v>83.333333333333343</v>
      </c>
      <c r="F63" t="b">
        <v>1</v>
      </c>
      <c r="G63">
        <v>0</v>
      </c>
      <c r="H63" t="s">
        <v>186</v>
      </c>
    </row>
    <row r="64" spans="1:8" x14ac:dyDescent="0.3">
      <c r="A64" t="s">
        <v>70</v>
      </c>
      <c r="B64" t="s">
        <v>38</v>
      </c>
      <c r="C64">
        <v>29</v>
      </c>
      <c r="D64">
        <v>19</v>
      </c>
      <c r="E64">
        <v>65.517241379310349</v>
      </c>
      <c r="F64" t="b">
        <v>1</v>
      </c>
      <c r="G64">
        <v>1</v>
      </c>
      <c r="H64" t="s">
        <v>185</v>
      </c>
    </row>
    <row r="65" spans="1:8" x14ac:dyDescent="0.3">
      <c r="A65" t="s">
        <v>70</v>
      </c>
      <c r="B65" t="s">
        <v>40</v>
      </c>
      <c r="C65">
        <v>40</v>
      </c>
      <c r="D65">
        <v>21</v>
      </c>
      <c r="E65">
        <v>52.5</v>
      </c>
      <c r="F65" t="b">
        <v>1</v>
      </c>
      <c r="G65">
        <v>1</v>
      </c>
      <c r="H65" t="s">
        <v>185</v>
      </c>
    </row>
    <row r="66" spans="1:8" x14ac:dyDescent="0.3">
      <c r="A66" t="s">
        <v>71</v>
      </c>
      <c r="B66" t="s">
        <v>51</v>
      </c>
      <c r="C66">
        <v>25</v>
      </c>
      <c r="D66">
        <v>12</v>
      </c>
      <c r="E66">
        <v>48</v>
      </c>
      <c r="F66" t="b">
        <v>1</v>
      </c>
      <c r="G66">
        <v>1</v>
      </c>
      <c r="H66" t="s">
        <v>185</v>
      </c>
    </row>
    <row r="67" spans="1:8" x14ac:dyDescent="0.3">
      <c r="A67" t="s">
        <v>71</v>
      </c>
      <c r="B67" t="s">
        <v>34</v>
      </c>
      <c r="C67">
        <v>30</v>
      </c>
      <c r="D67">
        <v>17</v>
      </c>
      <c r="E67">
        <v>56.666666666666657</v>
      </c>
      <c r="F67" t="b">
        <v>1</v>
      </c>
      <c r="G67">
        <v>1</v>
      </c>
      <c r="H67" t="s">
        <v>185</v>
      </c>
    </row>
    <row r="68" spans="1:8" x14ac:dyDescent="0.3">
      <c r="A68" t="s">
        <v>71</v>
      </c>
      <c r="B68" t="s">
        <v>42</v>
      </c>
      <c r="C68">
        <v>33</v>
      </c>
      <c r="D68">
        <v>21</v>
      </c>
      <c r="E68">
        <v>63.636363636363633</v>
      </c>
      <c r="F68" t="b">
        <v>1</v>
      </c>
      <c r="G68">
        <v>1</v>
      </c>
      <c r="H68" t="s">
        <v>185</v>
      </c>
    </row>
    <row r="69" spans="1:8" x14ac:dyDescent="0.3">
      <c r="A69" t="s">
        <v>71</v>
      </c>
      <c r="B69" t="s">
        <v>45</v>
      </c>
      <c r="C69">
        <v>35</v>
      </c>
      <c r="D69">
        <v>21</v>
      </c>
      <c r="E69">
        <v>60</v>
      </c>
      <c r="F69" t="b">
        <v>1</v>
      </c>
      <c r="G69">
        <v>1</v>
      </c>
      <c r="H69" t="s">
        <v>185</v>
      </c>
    </row>
    <row r="70" spans="1:8" x14ac:dyDescent="0.3">
      <c r="A70" t="s">
        <v>72</v>
      </c>
      <c r="B70" t="s">
        <v>27</v>
      </c>
      <c r="C70">
        <v>36</v>
      </c>
      <c r="D70">
        <v>21</v>
      </c>
      <c r="E70">
        <v>58.333333333333343</v>
      </c>
      <c r="F70" t="b">
        <v>1</v>
      </c>
      <c r="G70">
        <v>1</v>
      </c>
      <c r="H70" t="s">
        <v>185</v>
      </c>
    </row>
    <row r="71" spans="1:8" x14ac:dyDescent="0.3">
      <c r="A71" t="s">
        <v>72</v>
      </c>
      <c r="B71" t="s">
        <v>34</v>
      </c>
      <c r="C71">
        <v>39</v>
      </c>
      <c r="D71">
        <v>30</v>
      </c>
      <c r="E71">
        <v>76.923076923076934</v>
      </c>
      <c r="F71" t="b">
        <v>1</v>
      </c>
      <c r="G71">
        <v>0</v>
      </c>
      <c r="H71" t="s">
        <v>186</v>
      </c>
    </row>
    <row r="72" spans="1:8" x14ac:dyDescent="0.3">
      <c r="A72" t="s">
        <v>72</v>
      </c>
      <c r="B72" t="s">
        <v>40</v>
      </c>
      <c r="C72">
        <v>35</v>
      </c>
      <c r="D72">
        <v>29</v>
      </c>
      <c r="E72">
        <v>82.857142857142861</v>
      </c>
      <c r="F72" t="b">
        <v>1</v>
      </c>
      <c r="G72">
        <v>0</v>
      </c>
      <c r="H72" t="s">
        <v>186</v>
      </c>
    </row>
    <row r="73" spans="1:8" x14ac:dyDescent="0.3">
      <c r="A73" t="s">
        <v>72</v>
      </c>
      <c r="B73" t="s">
        <v>57</v>
      </c>
      <c r="C73">
        <v>38</v>
      </c>
      <c r="D73">
        <v>33</v>
      </c>
      <c r="E73">
        <v>86.842105263157904</v>
      </c>
      <c r="F73" t="b">
        <v>1</v>
      </c>
      <c r="G73">
        <v>0</v>
      </c>
      <c r="H73" t="s">
        <v>186</v>
      </c>
    </row>
    <row r="74" spans="1:8" x14ac:dyDescent="0.3">
      <c r="A74" t="s">
        <v>72</v>
      </c>
      <c r="B74" t="s">
        <v>42</v>
      </c>
      <c r="C74">
        <v>38</v>
      </c>
      <c r="D74">
        <v>26</v>
      </c>
      <c r="E74">
        <v>68.421052631578945</v>
      </c>
      <c r="F74" t="b">
        <v>1</v>
      </c>
      <c r="G74">
        <v>1</v>
      </c>
      <c r="H74" t="s">
        <v>185</v>
      </c>
    </row>
    <row r="75" spans="1:8" x14ac:dyDescent="0.3">
      <c r="A75" t="s">
        <v>73</v>
      </c>
      <c r="B75" t="s">
        <v>27</v>
      </c>
      <c r="C75">
        <v>31</v>
      </c>
      <c r="D75">
        <v>22</v>
      </c>
      <c r="E75">
        <v>70.967741935483872</v>
      </c>
      <c r="F75" t="b">
        <v>1</v>
      </c>
      <c r="G75">
        <v>1</v>
      </c>
      <c r="H75" t="s">
        <v>185</v>
      </c>
    </row>
    <row r="76" spans="1:8" x14ac:dyDescent="0.3">
      <c r="A76" t="s">
        <v>73</v>
      </c>
      <c r="B76" t="s">
        <v>51</v>
      </c>
      <c r="C76">
        <v>36</v>
      </c>
      <c r="D76">
        <v>14</v>
      </c>
      <c r="E76">
        <v>38.888888888888893</v>
      </c>
      <c r="F76" t="b">
        <v>1</v>
      </c>
      <c r="G76">
        <v>1</v>
      </c>
      <c r="H76" t="s">
        <v>185</v>
      </c>
    </row>
    <row r="77" spans="1:8" x14ac:dyDescent="0.3">
      <c r="A77" t="s">
        <v>73</v>
      </c>
      <c r="B77" t="s">
        <v>38</v>
      </c>
      <c r="C77">
        <v>27</v>
      </c>
      <c r="D77">
        <v>16</v>
      </c>
      <c r="E77">
        <v>59.259259259259252</v>
      </c>
      <c r="F77" t="b">
        <v>1</v>
      </c>
      <c r="G77">
        <v>1</v>
      </c>
      <c r="H77" t="s">
        <v>185</v>
      </c>
    </row>
    <row r="78" spans="1:8" x14ac:dyDescent="0.3">
      <c r="A78" t="s">
        <v>73</v>
      </c>
      <c r="B78" t="s">
        <v>57</v>
      </c>
      <c r="C78">
        <v>24</v>
      </c>
      <c r="D78">
        <v>16</v>
      </c>
      <c r="E78">
        <v>66.666666666666657</v>
      </c>
      <c r="F78" t="b">
        <v>1</v>
      </c>
      <c r="G78">
        <v>1</v>
      </c>
      <c r="H78" t="s">
        <v>185</v>
      </c>
    </row>
    <row r="79" spans="1:8" x14ac:dyDescent="0.3">
      <c r="A79" t="s">
        <v>74</v>
      </c>
      <c r="B79" t="s">
        <v>27</v>
      </c>
      <c r="C79">
        <v>30</v>
      </c>
      <c r="D79">
        <v>11</v>
      </c>
      <c r="E79">
        <v>36.666666666666657</v>
      </c>
      <c r="F79" t="b">
        <v>1</v>
      </c>
      <c r="G79">
        <v>1</v>
      </c>
      <c r="H79" t="s">
        <v>185</v>
      </c>
    </row>
    <row r="80" spans="1:8" x14ac:dyDescent="0.3">
      <c r="A80" t="s">
        <v>74</v>
      </c>
      <c r="B80" t="s">
        <v>38</v>
      </c>
      <c r="C80">
        <v>24</v>
      </c>
      <c r="D80">
        <v>19</v>
      </c>
      <c r="E80">
        <v>79.166666666666657</v>
      </c>
      <c r="F80" t="b">
        <v>1</v>
      </c>
      <c r="G80">
        <v>0</v>
      </c>
      <c r="H80" t="s">
        <v>186</v>
      </c>
    </row>
    <row r="81" spans="1:8" x14ac:dyDescent="0.3">
      <c r="A81" t="s">
        <v>74</v>
      </c>
      <c r="B81" t="s">
        <v>40</v>
      </c>
      <c r="C81">
        <v>33</v>
      </c>
      <c r="D81">
        <v>12</v>
      </c>
      <c r="E81">
        <v>36.363636363636367</v>
      </c>
      <c r="F81" t="b">
        <v>1</v>
      </c>
      <c r="G81">
        <v>1</v>
      </c>
      <c r="H81" t="s">
        <v>185</v>
      </c>
    </row>
    <row r="82" spans="1:8" x14ac:dyDescent="0.3">
      <c r="A82" t="s">
        <v>74</v>
      </c>
      <c r="B82" t="s">
        <v>57</v>
      </c>
      <c r="C82">
        <v>25</v>
      </c>
      <c r="D82">
        <v>12</v>
      </c>
      <c r="E82">
        <v>48</v>
      </c>
      <c r="F82" t="b">
        <v>1</v>
      </c>
      <c r="G82">
        <v>1</v>
      </c>
      <c r="H82" t="s">
        <v>185</v>
      </c>
    </row>
    <row r="83" spans="1:8" x14ac:dyDescent="0.3">
      <c r="A83" t="s">
        <v>74</v>
      </c>
      <c r="B83" t="s">
        <v>42</v>
      </c>
      <c r="C83">
        <v>36</v>
      </c>
      <c r="D83">
        <v>32</v>
      </c>
      <c r="E83">
        <v>88.888888888888886</v>
      </c>
      <c r="F83" t="b">
        <v>1</v>
      </c>
      <c r="G83">
        <v>0</v>
      </c>
      <c r="H83" t="s">
        <v>186</v>
      </c>
    </row>
    <row r="84" spans="1:8" x14ac:dyDescent="0.3">
      <c r="A84" t="s">
        <v>75</v>
      </c>
      <c r="B84" t="s">
        <v>27</v>
      </c>
      <c r="C84">
        <v>34</v>
      </c>
      <c r="D84">
        <v>15</v>
      </c>
      <c r="E84">
        <v>44.117647058823529</v>
      </c>
      <c r="F84" t="b">
        <v>1</v>
      </c>
      <c r="G84">
        <v>1</v>
      </c>
      <c r="H84" t="s">
        <v>185</v>
      </c>
    </row>
    <row r="85" spans="1:8" x14ac:dyDescent="0.3">
      <c r="A85" t="s">
        <v>75</v>
      </c>
      <c r="B85" t="s">
        <v>34</v>
      </c>
      <c r="C85">
        <v>31</v>
      </c>
      <c r="D85">
        <v>21</v>
      </c>
      <c r="E85">
        <v>67.741935483870961</v>
      </c>
      <c r="F85" t="b">
        <v>1</v>
      </c>
      <c r="G85">
        <v>1</v>
      </c>
      <c r="H85" t="s">
        <v>185</v>
      </c>
    </row>
    <row r="86" spans="1:8" x14ac:dyDescent="0.3">
      <c r="A86" t="s">
        <v>75</v>
      </c>
      <c r="B86" t="s">
        <v>38</v>
      </c>
      <c r="C86">
        <v>30</v>
      </c>
      <c r="D86">
        <v>11</v>
      </c>
      <c r="E86">
        <v>36.666666666666657</v>
      </c>
      <c r="F86" t="b">
        <v>1</v>
      </c>
      <c r="G86">
        <v>1</v>
      </c>
      <c r="H86" t="s">
        <v>185</v>
      </c>
    </row>
    <row r="87" spans="1:8" x14ac:dyDescent="0.3">
      <c r="A87" t="s">
        <v>75</v>
      </c>
      <c r="B87" t="s">
        <v>40</v>
      </c>
      <c r="C87">
        <v>40</v>
      </c>
      <c r="D87">
        <v>27</v>
      </c>
      <c r="E87">
        <v>67.5</v>
      </c>
      <c r="F87" t="b">
        <v>1</v>
      </c>
      <c r="G87">
        <v>1</v>
      </c>
      <c r="H87" t="s">
        <v>185</v>
      </c>
    </row>
    <row r="88" spans="1:8" x14ac:dyDescent="0.3">
      <c r="A88" t="s">
        <v>76</v>
      </c>
      <c r="B88" t="s">
        <v>27</v>
      </c>
      <c r="C88">
        <v>27</v>
      </c>
      <c r="D88">
        <v>17</v>
      </c>
      <c r="E88">
        <v>62.962962962962962</v>
      </c>
      <c r="F88" t="b">
        <v>1</v>
      </c>
      <c r="G88">
        <v>1</v>
      </c>
      <c r="H88" t="s">
        <v>185</v>
      </c>
    </row>
    <row r="89" spans="1:8" x14ac:dyDescent="0.3">
      <c r="A89" t="s">
        <v>76</v>
      </c>
      <c r="B89" t="s">
        <v>51</v>
      </c>
      <c r="C89">
        <v>30</v>
      </c>
      <c r="D89">
        <v>12</v>
      </c>
      <c r="E89">
        <v>40</v>
      </c>
      <c r="F89" t="b">
        <v>1</v>
      </c>
      <c r="G89">
        <v>1</v>
      </c>
      <c r="H89" t="s">
        <v>185</v>
      </c>
    </row>
    <row r="90" spans="1:8" x14ac:dyDescent="0.3">
      <c r="A90" t="s">
        <v>76</v>
      </c>
      <c r="B90" t="s">
        <v>34</v>
      </c>
      <c r="C90">
        <v>26</v>
      </c>
      <c r="D90">
        <v>20</v>
      </c>
      <c r="E90">
        <v>76.923076923076934</v>
      </c>
      <c r="F90" t="b">
        <v>1</v>
      </c>
      <c r="G90">
        <v>0</v>
      </c>
      <c r="H90" t="s">
        <v>186</v>
      </c>
    </row>
    <row r="91" spans="1:8" x14ac:dyDescent="0.3">
      <c r="A91" t="s">
        <v>76</v>
      </c>
      <c r="B91" t="s">
        <v>40</v>
      </c>
      <c r="C91">
        <v>26</v>
      </c>
      <c r="D91">
        <v>10</v>
      </c>
      <c r="E91">
        <v>38.461538461538467</v>
      </c>
      <c r="F91" t="b">
        <v>1</v>
      </c>
      <c r="G91">
        <v>1</v>
      </c>
      <c r="H91" t="s">
        <v>185</v>
      </c>
    </row>
    <row r="92" spans="1:8" x14ac:dyDescent="0.3">
      <c r="A92" t="s">
        <v>76</v>
      </c>
      <c r="B92" t="s">
        <v>57</v>
      </c>
      <c r="C92">
        <v>38</v>
      </c>
      <c r="D92">
        <v>27</v>
      </c>
      <c r="E92">
        <v>71.05263157894737</v>
      </c>
      <c r="F92" t="b">
        <v>1</v>
      </c>
      <c r="G92">
        <v>1</v>
      </c>
      <c r="H92" t="s">
        <v>185</v>
      </c>
    </row>
    <row r="93" spans="1:8" x14ac:dyDescent="0.3">
      <c r="A93" t="s">
        <v>76</v>
      </c>
      <c r="B93" t="s">
        <v>42</v>
      </c>
      <c r="C93">
        <v>35</v>
      </c>
      <c r="D93">
        <v>22</v>
      </c>
      <c r="E93">
        <v>62.857142857142847</v>
      </c>
      <c r="F93" t="b">
        <v>1</v>
      </c>
      <c r="G93">
        <v>1</v>
      </c>
      <c r="H93" t="s">
        <v>185</v>
      </c>
    </row>
    <row r="94" spans="1:8" x14ac:dyDescent="0.3">
      <c r="A94" t="s">
        <v>77</v>
      </c>
      <c r="B94" t="s">
        <v>27</v>
      </c>
      <c r="C94">
        <v>24</v>
      </c>
      <c r="D94">
        <v>17</v>
      </c>
      <c r="E94">
        <v>70.833333333333343</v>
      </c>
      <c r="F94" t="b">
        <v>1</v>
      </c>
      <c r="G94">
        <v>1</v>
      </c>
      <c r="H94" t="s">
        <v>185</v>
      </c>
    </row>
    <row r="95" spans="1:8" x14ac:dyDescent="0.3">
      <c r="A95" t="s">
        <v>77</v>
      </c>
      <c r="B95" t="s">
        <v>38</v>
      </c>
      <c r="C95">
        <v>27</v>
      </c>
      <c r="D95">
        <v>23</v>
      </c>
      <c r="E95">
        <v>85.18518518518519</v>
      </c>
      <c r="F95" t="b">
        <v>1</v>
      </c>
      <c r="G95">
        <v>0</v>
      </c>
      <c r="H95" t="s">
        <v>186</v>
      </c>
    </row>
    <row r="96" spans="1:8" x14ac:dyDescent="0.3">
      <c r="A96" t="s">
        <v>77</v>
      </c>
      <c r="B96" t="s">
        <v>40</v>
      </c>
      <c r="C96">
        <v>39</v>
      </c>
      <c r="D96">
        <v>27</v>
      </c>
      <c r="E96">
        <v>69.230769230769226</v>
      </c>
      <c r="F96" t="b">
        <v>1</v>
      </c>
      <c r="G96">
        <v>1</v>
      </c>
      <c r="H96" t="s">
        <v>185</v>
      </c>
    </row>
    <row r="97" spans="1:8" x14ac:dyDescent="0.3">
      <c r="A97" t="s">
        <v>77</v>
      </c>
      <c r="B97" t="s">
        <v>45</v>
      </c>
      <c r="C97">
        <v>37</v>
      </c>
      <c r="D97">
        <v>17</v>
      </c>
      <c r="E97">
        <v>45.945945945945951</v>
      </c>
      <c r="F97" t="b">
        <v>1</v>
      </c>
      <c r="G97">
        <v>1</v>
      </c>
      <c r="H97" t="s">
        <v>185</v>
      </c>
    </row>
    <row r="98" spans="1:8" x14ac:dyDescent="0.3">
      <c r="A98" t="s">
        <v>78</v>
      </c>
      <c r="B98" t="s">
        <v>51</v>
      </c>
      <c r="C98">
        <v>33</v>
      </c>
      <c r="D98">
        <v>23</v>
      </c>
      <c r="E98">
        <v>69.696969696969703</v>
      </c>
      <c r="F98" t="b">
        <v>1</v>
      </c>
      <c r="G98">
        <v>1</v>
      </c>
      <c r="H98" t="s">
        <v>185</v>
      </c>
    </row>
    <row r="99" spans="1:8" x14ac:dyDescent="0.3">
      <c r="A99" t="s">
        <v>78</v>
      </c>
      <c r="B99" t="s">
        <v>34</v>
      </c>
      <c r="C99">
        <v>40</v>
      </c>
      <c r="D99">
        <v>29</v>
      </c>
      <c r="E99">
        <v>72.5</v>
      </c>
      <c r="F99" t="b">
        <v>1</v>
      </c>
      <c r="G99">
        <v>1</v>
      </c>
      <c r="H99" t="s">
        <v>185</v>
      </c>
    </row>
    <row r="100" spans="1:8" x14ac:dyDescent="0.3">
      <c r="A100" t="s">
        <v>78</v>
      </c>
      <c r="B100" t="s">
        <v>40</v>
      </c>
      <c r="C100">
        <v>29</v>
      </c>
      <c r="D100">
        <v>16</v>
      </c>
      <c r="E100">
        <v>55.172413793103438</v>
      </c>
      <c r="F100" t="b">
        <v>1</v>
      </c>
      <c r="G100">
        <v>1</v>
      </c>
      <c r="H100" t="s">
        <v>185</v>
      </c>
    </row>
    <row r="101" spans="1:8" x14ac:dyDescent="0.3">
      <c r="A101" t="s">
        <v>78</v>
      </c>
      <c r="B101" t="s">
        <v>42</v>
      </c>
      <c r="C101">
        <v>28</v>
      </c>
      <c r="D101">
        <v>17</v>
      </c>
      <c r="E101">
        <v>60.714285714285708</v>
      </c>
      <c r="F101" t="b">
        <v>1</v>
      </c>
      <c r="G101">
        <v>1</v>
      </c>
      <c r="H101" t="s">
        <v>185</v>
      </c>
    </row>
    <row r="102" spans="1:8" x14ac:dyDescent="0.3">
      <c r="A102" t="s">
        <v>79</v>
      </c>
      <c r="B102" t="s">
        <v>51</v>
      </c>
      <c r="C102">
        <v>34</v>
      </c>
      <c r="D102">
        <v>16</v>
      </c>
      <c r="E102">
        <v>47.058823529411761</v>
      </c>
      <c r="F102" t="b">
        <v>1</v>
      </c>
      <c r="G102">
        <v>1</v>
      </c>
      <c r="H102" t="s">
        <v>185</v>
      </c>
    </row>
    <row r="103" spans="1:8" x14ac:dyDescent="0.3">
      <c r="A103" t="s">
        <v>79</v>
      </c>
      <c r="B103" t="s">
        <v>34</v>
      </c>
      <c r="C103">
        <v>33</v>
      </c>
      <c r="D103">
        <v>18</v>
      </c>
      <c r="E103">
        <v>54.54545454545454</v>
      </c>
      <c r="F103" t="b">
        <v>1</v>
      </c>
      <c r="G103">
        <v>1</v>
      </c>
      <c r="H103" t="s">
        <v>185</v>
      </c>
    </row>
    <row r="104" spans="1:8" x14ac:dyDescent="0.3">
      <c r="A104" t="s">
        <v>79</v>
      </c>
      <c r="B104" t="s">
        <v>38</v>
      </c>
      <c r="C104">
        <v>31</v>
      </c>
      <c r="D104">
        <v>19</v>
      </c>
      <c r="E104">
        <v>61.29032258064516</v>
      </c>
      <c r="F104" t="b">
        <v>1</v>
      </c>
      <c r="G104">
        <v>1</v>
      </c>
      <c r="H104" t="s">
        <v>185</v>
      </c>
    </row>
    <row r="105" spans="1:8" x14ac:dyDescent="0.3">
      <c r="A105" t="s">
        <v>79</v>
      </c>
      <c r="B105" t="s">
        <v>40</v>
      </c>
      <c r="C105">
        <v>26</v>
      </c>
      <c r="D105">
        <v>19</v>
      </c>
      <c r="E105">
        <v>73.076923076923066</v>
      </c>
      <c r="F105" t="b">
        <v>1</v>
      </c>
      <c r="G105">
        <v>1</v>
      </c>
      <c r="H105" t="s">
        <v>185</v>
      </c>
    </row>
    <row r="106" spans="1:8" x14ac:dyDescent="0.3">
      <c r="A106" t="s">
        <v>79</v>
      </c>
      <c r="B106" t="s">
        <v>42</v>
      </c>
      <c r="C106">
        <v>31</v>
      </c>
      <c r="D106">
        <v>25</v>
      </c>
      <c r="E106">
        <v>80.645161290322577</v>
      </c>
      <c r="F106" t="b">
        <v>1</v>
      </c>
      <c r="G106">
        <v>0</v>
      </c>
      <c r="H106" t="s">
        <v>186</v>
      </c>
    </row>
    <row r="107" spans="1:8" x14ac:dyDescent="0.3">
      <c r="A107" t="s">
        <v>79</v>
      </c>
      <c r="B107" t="s">
        <v>45</v>
      </c>
      <c r="C107">
        <v>39</v>
      </c>
      <c r="D107">
        <v>28</v>
      </c>
      <c r="E107">
        <v>71.794871794871796</v>
      </c>
      <c r="F107" t="b">
        <v>1</v>
      </c>
      <c r="G107">
        <v>1</v>
      </c>
      <c r="H107" t="s">
        <v>185</v>
      </c>
    </row>
    <row r="108" spans="1:8" x14ac:dyDescent="0.3">
      <c r="A108" t="s">
        <v>80</v>
      </c>
      <c r="B108" t="s">
        <v>27</v>
      </c>
      <c r="C108">
        <v>39</v>
      </c>
      <c r="D108">
        <v>20</v>
      </c>
      <c r="E108">
        <v>51.282051282051277</v>
      </c>
      <c r="F108" t="b">
        <v>1</v>
      </c>
      <c r="G108">
        <v>1</v>
      </c>
      <c r="H108" t="s">
        <v>185</v>
      </c>
    </row>
    <row r="109" spans="1:8" x14ac:dyDescent="0.3">
      <c r="A109" t="s">
        <v>80</v>
      </c>
      <c r="B109" t="s">
        <v>51</v>
      </c>
      <c r="C109">
        <v>27</v>
      </c>
      <c r="D109">
        <v>14</v>
      </c>
      <c r="E109">
        <v>51.851851851851848</v>
      </c>
      <c r="F109" t="b">
        <v>1</v>
      </c>
      <c r="G109">
        <v>1</v>
      </c>
      <c r="H109" t="s">
        <v>185</v>
      </c>
    </row>
    <row r="110" spans="1:8" x14ac:dyDescent="0.3">
      <c r="A110" t="s">
        <v>80</v>
      </c>
      <c r="B110" t="s">
        <v>40</v>
      </c>
      <c r="C110">
        <v>26</v>
      </c>
      <c r="D110">
        <v>11</v>
      </c>
      <c r="E110">
        <v>42.307692307692307</v>
      </c>
      <c r="F110" t="b">
        <v>1</v>
      </c>
      <c r="G110">
        <v>1</v>
      </c>
      <c r="H110" t="s">
        <v>185</v>
      </c>
    </row>
    <row r="111" spans="1:8" x14ac:dyDescent="0.3">
      <c r="A111" t="s">
        <v>80</v>
      </c>
      <c r="B111" t="s">
        <v>57</v>
      </c>
      <c r="C111">
        <v>36</v>
      </c>
      <c r="D111">
        <v>18</v>
      </c>
      <c r="E111">
        <v>50</v>
      </c>
      <c r="F111" t="b">
        <v>1</v>
      </c>
      <c r="G111">
        <v>1</v>
      </c>
      <c r="H111" t="s">
        <v>185</v>
      </c>
    </row>
    <row r="112" spans="1:8" x14ac:dyDescent="0.3">
      <c r="A112" t="s">
        <v>80</v>
      </c>
      <c r="B112" t="s">
        <v>42</v>
      </c>
      <c r="C112">
        <v>26</v>
      </c>
      <c r="D112">
        <v>7</v>
      </c>
      <c r="E112">
        <v>26.92307692307692</v>
      </c>
      <c r="F112" t="b">
        <v>1</v>
      </c>
      <c r="G112">
        <v>1</v>
      </c>
      <c r="H112" t="s">
        <v>185</v>
      </c>
    </row>
    <row r="113" spans="1:8" x14ac:dyDescent="0.3">
      <c r="A113" t="s">
        <v>81</v>
      </c>
      <c r="B113" t="s">
        <v>34</v>
      </c>
      <c r="C113">
        <v>33</v>
      </c>
      <c r="D113">
        <v>24</v>
      </c>
      <c r="E113">
        <v>72.727272727272734</v>
      </c>
      <c r="F113" t="b">
        <v>1</v>
      </c>
      <c r="G113">
        <v>1</v>
      </c>
      <c r="H113" t="s">
        <v>185</v>
      </c>
    </row>
    <row r="114" spans="1:8" x14ac:dyDescent="0.3">
      <c r="A114" t="s">
        <v>81</v>
      </c>
      <c r="B114" t="s">
        <v>38</v>
      </c>
      <c r="C114">
        <v>34</v>
      </c>
      <c r="D114">
        <v>23</v>
      </c>
      <c r="E114">
        <v>67.64705882352942</v>
      </c>
      <c r="F114" t="b">
        <v>1</v>
      </c>
      <c r="G114">
        <v>1</v>
      </c>
      <c r="H114" t="s">
        <v>185</v>
      </c>
    </row>
    <row r="115" spans="1:8" x14ac:dyDescent="0.3">
      <c r="A115" t="s">
        <v>81</v>
      </c>
      <c r="B115" t="s">
        <v>40</v>
      </c>
      <c r="C115">
        <v>29</v>
      </c>
      <c r="D115">
        <v>21</v>
      </c>
      <c r="E115">
        <v>72.41379310344827</v>
      </c>
      <c r="F115" t="b">
        <v>1</v>
      </c>
      <c r="G115">
        <v>1</v>
      </c>
      <c r="H115" t="s">
        <v>185</v>
      </c>
    </row>
    <row r="116" spans="1:8" x14ac:dyDescent="0.3">
      <c r="A116" t="s">
        <v>81</v>
      </c>
      <c r="B116" t="s">
        <v>57</v>
      </c>
      <c r="C116">
        <v>28</v>
      </c>
      <c r="D116">
        <v>21</v>
      </c>
      <c r="E116">
        <v>75</v>
      </c>
      <c r="F116" t="b">
        <v>1</v>
      </c>
      <c r="G116">
        <v>0</v>
      </c>
      <c r="H116" t="s">
        <v>186</v>
      </c>
    </row>
    <row r="117" spans="1:8" x14ac:dyDescent="0.3">
      <c r="A117" t="s">
        <v>81</v>
      </c>
      <c r="B117" t="s">
        <v>42</v>
      </c>
      <c r="C117">
        <v>32</v>
      </c>
      <c r="D117">
        <v>26</v>
      </c>
      <c r="E117">
        <v>81.25</v>
      </c>
      <c r="F117" t="b">
        <v>1</v>
      </c>
      <c r="G117">
        <v>0</v>
      </c>
      <c r="H117" t="s">
        <v>186</v>
      </c>
    </row>
    <row r="118" spans="1:8" x14ac:dyDescent="0.3">
      <c r="A118" t="s">
        <v>81</v>
      </c>
      <c r="B118" t="s">
        <v>45</v>
      </c>
      <c r="C118">
        <v>31</v>
      </c>
      <c r="D118">
        <v>21</v>
      </c>
      <c r="E118">
        <v>67.741935483870961</v>
      </c>
      <c r="F118" t="b">
        <v>1</v>
      </c>
      <c r="G118">
        <v>1</v>
      </c>
      <c r="H118" t="s">
        <v>185</v>
      </c>
    </row>
    <row r="119" spans="1:8" x14ac:dyDescent="0.3">
      <c r="A119" t="s">
        <v>82</v>
      </c>
      <c r="B119" t="s">
        <v>27</v>
      </c>
      <c r="C119">
        <v>38</v>
      </c>
      <c r="D119">
        <v>25</v>
      </c>
      <c r="E119">
        <v>65.789473684210535</v>
      </c>
      <c r="F119" t="b">
        <v>1</v>
      </c>
      <c r="G119">
        <v>1</v>
      </c>
      <c r="H119" t="s">
        <v>185</v>
      </c>
    </row>
    <row r="120" spans="1:8" x14ac:dyDescent="0.3">
      <c r="A120" t="s">
        <v>82</v>
      </c>
      <c r="B120" t="s">
        <v>51</v>
      </c>
      <c r="C120">
        <v>28</v>
      </c>
      <c r="D120">
        <v>16</v>
      </c>
      <c r="E120">
        <v>57.142857142857139</v>
      </c>
      <c r="F120" t="b">
        <v>1</v>
      </c>
      <c r="G120">
        <v>1</v>
      </c>
      <c r="H120" t="s">
        <v>185</v>
      </c>
    </row>
    <row r="121" spans="1:8" x14ac:dyDescent="0.3">
      <c r="A121" t="s">
        <v>82</v>
      </c>
      <c r="B121" t="s">
        <v>42</v>
      </c>
      <c r="C121">
        <v>36</v>
      </c>
      <c r="D121">
        <v>18</v>
      </c>
      <c r="E121">
        <v>50</v>
      </c>
      <c r="F121" t="b">
        <v>1</v>
      </c>
      <c r="G121">
        <v>1</v>
      </c>
      <c r="H121" t="s">
        <v>185</v>
      </c>
    </row>
    <row r="122" spans="1:8" x14ac:dyDescent="0.3">
      <c r="A122" t="s">
        <v>82</v>
      </c>
      <c r="B122" t="s">
        <v>45</v>
      </c>
      <c r="C122">
        <v>34</v>
      </c>
      <c r="D122">
        <v>16</v>
      </c>
      <c r="E122">
        <v>47.058823529411761</v>
      </c>
      <c r="F122" t="b">
        <v>1</v>
      </c>
      <c r="G122">
        <v>1</v>
      </c>
      <c r="H122" t="s">
        <v>185</v>
      </c>
    </row>
    <row r="123" spans="1:8" x14ac:dyDescent="0.3">
      <c r="A123" t="s">
        <v>83</v>
      </c>
      <c r="B123" t="s">
        <v>27</v>
      </c>
      <c r="C123">
        <v>39</v>
      </c>
      <c r="D123">
        <v>27</v>
      </c>
      <c r="E123">
        <v>69.230769230769226</v>
      </c>
      <c r="F123" t="b">
        <v>1</v>
      </c>
      <c r="G123">
        <v>1</v>
      </c>
      <c r="H123" t="s">
        <v>185</v>
      </c>
    </row>
    <row r="124" spans="1:8" x14ac:dyDescent="0.3">
      <c r="A124" t="s">
        <v>83</v>
      </c>
      <c r="B124" t="s">
        <v>51</v>
      </c>
      <c r="C124">
        <v>32</v>
      </c>
      <c r="D124">
        <v>27</v>
      </c>
      <c r="E124">
        <v>84.375</v>
      </c>
      <c r="F124" t="b">
        <v>1</v>
      </c>
      <c r="G124">
        <v>0</v>
      </c>
      <c r="H124" t="s">
        <v>186</v>
      </c>
    </row>
    <row r="125" spans="1:8" x14ac:dyDescent="0.3">
      <c r="A125" t="s">
        <v>83</v>
      </c>
      <c r="B125" t="s">
        <v>38</v>
      </c>
      <c r="C125">
        <v>26</v>
      </c>
      <c r="D125">
        <v>12</v>
      </c>
      <c r="E125">
        <v>46.153846153846153</v>
      </c>
      <c r="F125" t="b">
        <v>1</v>
      </c>
      <c r="G125">
        <v>1</v>
      </c>
      <c r="H125" t="s">
        <v>185</v>
      </c>
    </row>
    <row r="126" spans="1:8" x14ac:dyDescent="0.3">
      <c r="A126" t="s">
        <v>83</v>
      </c>
      <c r="B126" t="s">
        <v>40</v>
      </c>
      <c r="C126">
        <v>28</v>
      </c>
      <c r="D126">
        <v>14</v>
      </c>
      <c r="E126">
        <v>50</v>
      </c>
      <c r="F126" t="b">
        <v>1</v>
      </c>
      <c r="G126">
        <v>1</v>
      </c>
      <c r="H126" t="s">
        <v>185</v>
      </c>
    </row>
    <row r="127" spans="1:8" x14ac:dyDescent="0.3">
      <c r="A127" t="s">
        <v>83</v>
      </c>
      <c r="B127" t="s">
        <v>42</v>
      </c>
      <c r="C127">
        <v>37</v>
      </c>
      <c r="D127">
        <v>24</v>
      </c>
      <c r="E127">
        <v>64.86486486486487</v>
      </c>
      <c r="F127" t="b">
        <v>1</v>
      </c>
      <c r="G127">
        <v>1</v>
      </c>
      <c r="H127" t="s">
        <v>185</v>
      </c>
    </row>
    <row r="128" spans="1:8" x14ac:dyDescent="0.3">
      <c r="A128" t="s">
        <v>84</v>
      </c>
      <c r="B128" t="s">
        <v>27</v>
      </c>
      <c r="C128">
        <v>37</v>
      </c>
      <c r="D128">
        <v>17</v>
      </c>
      <c r="E128">
        <v>45.945945945945951</v>
      </c>
      <c r="F128" t="b">
        <v>1</v>
      </c>
      <c r="G128">
        <v>1</v>
      </c>
      <c r="H128" t="s">
        <v>185</v>
      </c>
    </row>
    <row r="129" spans="1:8" x14ac:dyDescent="0.3">
      <c r="A129" t="s">
        <v>84</v>
      </c>
      <c r="B129" t="s">
        <v>38</v>
      </c>
      <c r="C129">
        <v>28</v>
      </c>
      <c r="D129">
        <v>20</v>
      </c>
      <c r="E129">
        <v>71.428571428571431</v>
      </c>
      <c r="F129" t="b">
        <v>1</v>
      </c>
      <c r="G129">
        <v>1</v>
      </c>
      <c r="H129" t="s">
        <v>185</v>
      </c>
    </row>
    <row r="130" spans="1:8" x14ac:dyDescent="0.3">
      <c r="A130" t="s">
        <v>84</v>
      </c>
      <c r="B130" t="s">
        <v>40</v>
      </c>
      <c r="C130">
        <v>35</v>
      </c>
      <c r="D130">
        <v>22</v>
      </c>
      <c r="E130">
        <v>62.857142857142847</v>
      </c>
      <c r="F130" t="b">
        <v>1</v>
      </c>
      <c r="G130">
        <v>1</v>
      </c>
      <c r="H130" t="s">
        <v>185</v>
      </c>
    </row>
    <row r="131" spans="1:8" x14ac:dyDescent="0.3">
      <c r="A131" t="s">
        <v>84</v>
      </c>
      <c r="B131" t="s">
        <v>57</v>
      </c>
      <c r="C131">
        <v>24</v>
      </c>
      <c r="D131">
        <v>16</v>
      </c>
      <c r="E131">
        <v>66.666666666666657</v>
      </c>
      <c r="F131" t="b">
        <v>1</v>
      </c>
      <c r="G131">
        <v>1</v>
      </c>
      <c r="H131" t="s">
        <v>185</v>
      </c>
    </row>
    <row r="132" spans="1:8" x14ac:dyDescent="0.3">
      <c r="A132" t="s">
        <v>85</v>
      </c>
      <c r="B132" t="s">
        <v>27</v>
      </c>
      <c r="C132">
        <v>26</v>
      </c>
      <c r="D132">
        <v>15</v>
      </c>
      <c r="E132">
        <v>57.692307692307693</v>
      </c>
      <c r="F132" t="b">
        <v>1</v>
      </c>
      <c r="G132">
        <v>1</v>
      </c>
      <c r="H132" t="s">
        <v>185</v>
      </c>
    </row>
    <row r="133" spans="1:8" x14ac:dyDescent="0.3">
      <c r="A133" t="s">
        <v>85</v>
      </c>
      <c r="B133" t="s">
        <v>34</v>
      </c>
      <c r="C133">
        <v>32</v>
      </c>
      <c r="D133">
        <v>13</v>
      </c>
      <c r="E133">
        <v>40.625</v>
      </c>
      <c r="F133" t="b">
        <v>1</v>
      </c>
      <c r="G133">
        <v>1</v>
      </c>
      <c r="H133" t="s">
        <v>185</v>
      </c>
    </row>
    <row r="134" spans="1:8" x14ac:dyDescent="0.3">
      <c r="A134" t="s">
        <v>85</v>
      </c>
      <c r="B134" t="s">
        <v>38</v>
      </c>
      <c r="C134">
        <v>34</v>
      </c>
      <c r="D134">
        <v>17</v>
      </c>
      <c r="E134">
        <v>50</v>
      </c>
      <c r="F134" t="b">
        <v>1</v>
      </c>
      <c r="G134">
        <v>1</v>
      </c>
      <c r="H134" t="s">
        <v>185</v>
      </c>
    </row>
    <row r="135" spans="1:8" x14ac:dyDescent="0.3">
      <c r="A135" t="s">
        <v>85</v>
      </c>
      <c r="B135" t="s">
        <v>57</v>
      </c>
      <c r="C135">
        <v>37</v>
      </c>
      <c r="D135">
        <v>15</v>
      </c>
      <c r="E135">
        <v>40.54054054054054</v>
      </c>
      <c r="F135" t="b">
        <v>1</v>
      </c>
      <c r="G135">
        <v>1</v>
      </c>
      <c r="H135" t="s">
        <v>185</v>
      </c>
    </row>
    <row r="136" spans="1:8" x14ac:dyDescent="0.3">
      <c r="A136" t="s">
        <v>85</v>
      </c>
      <c r="B136" t="s">
        <v>42</v>
      </c>
      <c r="C136">
        <v>35</v>
      </c>
      <c r="D136">
        <v>21</v>
      </c>
      <c r="E136">
        <v>60</v>
      </c>
      <c r="F136" t="b">
        <v>1</v>
      </c>
      <c r="G136">
        <v>1</v>
      </c>
      <c r="H136" t="s">
        <v>185</v>
      </c>
    </row>
    <row r="137" spans="1:8" x14ac:dyDescent="0.3">
      <c r="A137" t="s">
        <v>85</v>
      </c>
      <c r="B137" t="s">
        <v>45</v>
      </c>
      <c r="C137">
        <v>38</v>
      </c>
      <c r="D137">
        <v>19</v>
      </c>
      <c r="E137">
        <v>50</v>
      </c>
      <c r="F137" t="b">
        <v>1</v>
      </c>
      <c r="G137">
        <v>1</v>
      </c>
      <c r="H137" t="s">
        <v>185</v>
      </c>
    </row>
    <row r="138" spans="1:8" x14ac:dyDescent="0.3">
      <c r="A138" t="s">
        <v>86</v>
      </c>
      <c r="B138" t="s">
        <v>27</v>
      </c>
      <c r="C138">
        <v>30</v>
      </c>
      <c r="D138">
        <v>13</v>
      </c>
      <c r="E138">
        <v>43.333333333333343</v>
      </c>
      <c r="F138" t="b">
        <v>1</v>
      </c>
      <c r="G138">
        <v>1</v>
      </c>
      <c r="H138" t="s">
        <v>185</v>
      </c>
    </row>
    <row r="139" spans="1:8" x14ac:dyDescent="0.3">
      <c r="A139" t="s">
        <v>86</v>
      </c>
      <c r="B139" t="s">
        <v>38</v>
      </c>
      <c r="C139">
        <v>28</v>
      </c>
      <c r="D139">
        <v>8</v>
      </c>
      <c r="E139">
        <v>28.571428571428569</v>
      </c>
      <c r="F139" t="b">
        <v>1</v>
      </c>
      <c r="G139">
        <v>1</v>
      </c>
      <c r="H139" t="s">
        <v>185</v>
      </c>
    </row>
    <row r="140" spans="1:8" x14ac:dyDescent="0.3">
      <c r="A140" t="s">
        <v>86</v>
      </c>
      <c r="B140" t="s">
        <v>57</v>
      </c>
      <c r="C140">
        <v>36</v>
      </c>
      <c r="D140">
        <v>18</v>
      </c>
      <c r="E140">
        <v>50</v>
      </c>
      <c r="F140" t="b">
        <v>1</v>
      </c>
      <c r="G140">
        <v>1</v>
      </c>
      <c r="H140" t="s">
        <v>185</v>
      </c>
    </row>
    <row r="141" spans="1:8" x14ac:dyDescent="0.3">
      <c r="A141" t="s">
        <v>86</v>
      </c>
      <c r="B141" t="s">
        <v>45</v>
      </c>
      <c r="C141">
        <v>36</v>
      </c>
      <c r="D141">
        <v>20</v>
      </c>
      <c r="E141">
        <v>55.555555555555557</v>
      </c>
      <c r="F141" t="b">
        <v>1</v>
      </c>
      <c r="G141">
        <v>1</v>
      </c>
      <c r="H141" t="s">
        <v>185</v>
      </c>
    </row>
    <row r="142" spans="1:8" x14ac:dyDescent="0.3">
      <c r="A142" t="s">
        <v>87</v>
      </c>
      <c r="B142" t="s">
        <v>27</v>
      </c>
      <c r="C142">
        <v>36</v>
      </c>
      <c r="D142">
        <v>19</v>
      </c>
      <c r="E142">
        <v>52.777777777777779</v>
      </c>
      <c r="F142" t="b">
        <v>1</v>
      </c>
      <c r="G142">
        <v>1</v>
      </c>
      <c r="H142" t="s">
        <v>185</v>
      </c>
    </row>
    <row r="143" spans="1:8" x14ac:dyDescent="0.3">
      <c r="A143" t="s">
        <v>87</v>
      </c>
      <c r="B143" t="s">
        <v>51</v>
      </c>
      <c r="C143">
        <v>27</v>
      </c>
      <c r="D143">
        <v>20</v>
      </c>
      <c r="E143">
        <v>74.074074074074076</v>
      </c>
      <c r="F143" t="b">
        <v>1</v>
      </c>
      <c r="G143">
        <v>1</v>
      </c>
      <c r="H143" t="s">
        <v>185</v>
      </c>
    </row>
    <row r="144" spans="1:8" x14ac:dyDescent="0.3">
      <c r="A144" t="s">
        <v>87</v>
      </c>
      <c r="B144" t="s">
        <v>38</v>
      </c>
      <c r="C144">
        <v>39</v>
      </c>
      <c r="D144">
        <v>35</v>
      </c>
      <c r="E144">
        <v>89.743589743589752</v>
      </c>
      <c r="F144" t="b">
        <v>1</v>
      </c>
      <c r="G144">
        <v>0</v>
      </c>
      <c r="H144" t="s">
        <v>186</v>
      </c>
    </row>
    <row r="145" spans="1:8" x14ac:dyDescent="0.3">
      <c r="A145" t="s">
        <v>87</v>
      </c>
      <c r="B145" t="s">
        <v>57</v>
      </c>
      <c r="C145">
        <v>34</v>
      </c>
      <c r="D145">
        <v>21</v>
      </c>
      <c r="E145">
        <v>61.764705882352942</v>
      </c>
      <c r="F145" t="b">
        <v>1</v>
      </c>
      <c r="G145">
        <v>1</v>
      </c>
      <c r="H145" t="s">
        <v>185</v>
      </c>
    </row>
    <row r="146" spans="1:8" x14ac:dyDescent="0.3">
      <c r="A146" t="s">
        <v>87</v>
      </c>
      <c r="B146" t="s">
        <v>45</v>
      </c>
      <c r="C146">
        <v>24</v>
      </c>
      <c r="D146">
        <v>17</v>
      </c>
      <c r="E146">
        <v>70.833333333333343</v>
      </c>
      <c r="F146" t="b">
        <v>1</v>
      </c>
      <c r="G146">
        <v>1</v>
      </c>
      <c r="H146" t="s">
        <v>185</v>
      </c>
    </row>
    <row r="147" spans="1:8" x14ac:dyDescent="0.3">
      <c r="A147" t="s">
        <v>88</v>
      </c>
      <c r="B147" t="s">
        <v>51</v>
      </c>
      <c r="C147">
        <v>34</v>
      </c>
      <c r="D147">
        <v>22</v>
      </c>
      <c r="E147">
        <v>64.705882352941174</v>
      </c>
      <c r="F147" t="b">
        <v>1</v>
      </c>
      <c r="G147">
        <v>1</v>
      </c>
      <c r="H147" t="s">
        <v>185</v>
      </c>
    </row>
    <row r="148" spans="1:8" x14ac:dyDescent="0.3">
      <c r="A148" t="s">
        <v>88</v>
      </c>
      <c r="B148" t="s">
        <v>34</v>
      </c>
      <c r="C148">
        <v>33</v>
      </c>
      <c r="D148">
        <v>23</v>
      </c>
      <c r="E148">
        <v>69.696969696969703</v>
      </c>
      <c r="F148" t="b">
        <v>1</v>
      </c>
      <c r="G148">
        <v>1</v>
      </c>
      <c r="H148" t="s">
        <v>185</v>
      </c>
    </row>
    <row r="149" spans="1:8" x14ac:dyDescent="0.3">
      <c r="A149" t="s">
        <v>88</v>
      </c>
      <c r="B149" t="s">
        <v>38</v>
      </c>
      <c r="C149">
        <v>30</v>
      </c>
      <c r="D149">
        <v>16</v>
      </c>
      <c r="E149">
        <v>53.333333333333343</v>
      </c>
      <c r="F149" t="b">
        <v>1</v>
      </c>
      <c r="G149">
        <v>1</v>
      </c>
      <c r="H149" t="s">
        <v>185</v>
      </c>
    </row>
    <row r="150" spans="1:8" x14ac:dyDescent="0.3">
      <c r="A150" t="s">
        <v>88</v>
      </c>
      <c r="B150" t="s">
        <v>57</v>
      </c>
      <c r="C150">
        <v>34</v>
      </c>
      <c r="D150">
        <v>10</v>
      </c>
      <c r="E150">
        <v>29.411764705882359</v>
      </c>
      <c r="F150" t="b">
        <v>1</v>
      </c>
      <c r="G150">
        <v>1</v>
      </c>
      <c r="H150" t="s">
        <v>185</v>
      </c>
    </row>
    <row r="151" spans="1:8" x14ac:dyDescent="0.3">
      <c r="A151" t="s">
        <v>88</v>
      </c>
      <c r="B151" t="s">
        <v>45</v>
      </c>
      <c r="C151">
        <v>27</v>
      </c>
      <c r="D151">
        <v>18</v>
      </c>
      <c r="E151">
        <v>66.666666666666657</v>
      </c>
      <c r="F151" t="b">
        <v>1</v>
      </c>
      <c r="G151">
        <v>1</v>
      </c>
      <c r="H151" t="s">
        <v>185</v>
      </c>
    </row>
    <row r="152" spans="1:8" x14ac:dyDescent="0.3">
      <c r="A152" t="s">
        <v>89</v>
      </c>
      <c r="B152" t="s">
        <v>27</v>
      </c>
      <c r="C152">
        <v>26</v>
      </c>
      <c r="D152">
        <v>9</v>
      </c>
      <c r="E152">
        <v>34.615384615384613</v>
      </c>
      <c r="F152" t="b">
        <v>1</v>
      </c>
      <c r="G152">
        <v>1</v>
      </c>
      <c r="H152" t="s">
        <v>185</v>
      </c>
    </row>
    <row r="153" spans="1:8" x14ac:dyDescent="0.3">
      <c r="A153" t="s">
        <v>89</v>
      </c>
      <c r="B153" t="s">
        <v>51</v>
      </c>
      <c r="C153">
        <v>36</v>
      </c>
      <c r="D153">
        <v>16</v>
      </c>
      <c r="E153">
        <v>44.444444444444443</v>
      </c>
      <c r="F153" t="b">
        <v>1</v>
      </c>
      <c r="G153">
        <v>1</v>
      </c>
      <c r="H153" t="s">
        <v>185</v>
      </c>
    </row>
    <row r="154" spans="1:8" x14ac:dyDescent="0.3">
      <c r="A154" t="s">
        <v>89</v>
      </c>
      <c r="B154" t="s">
        <v>34</v>
      </c>
      <c r="C154">
        <v>32</v>
      </c>
      <c r="D154">
        <v>15</v>
      </c>
      <c r="E154">
        <v>46.875</v>
      </c>
      <c r="F154" t="b">
        <v>1</v>
      </c>
      <c r="G154">
        <v>1</v>
      </c>
      <c r="H154" t="s">
        <v>185</v>
      </c>
    </row>
    <row r="155" spans="1:8" x14ac:dyDescent="0.3">
      <c r="A155" t="s">
        <v>89</v>
      </c>
      <c r="B155" t="s">
        <v>42</v>
      </c>
      <c r="C155">
        <v>35</v>
      </c>
      <c r="D155">
        <v>14</v>
      </c>
      <c r="E155">
        <v>40</v>
      </c>
      <c r="F155" t="b">
        <v>1</v>
      </c>
      <c r="G155">
        <v>1</v>
      </c>
      <c r="H155" t="s">
        <v>185</v>
      </c>
    </row>
    <row r="156" spans="1:8" x14ac:dyDescent="0.3">
      <c r="A156" t="s">
        <v>90</v>
      </c>
      <c r="B156" t="s">
        <v>27</v>
      </c>
      <c r="C156">
        <v>31</v>
      </c>
      <c r="D156">
        <v>14</v>
      </c>
      <c r="E156">
        <v>45.161290322580641</v>
      </c>
      <c r="F156" t="b">
        <v>1</v>
      </c>
      <c r="G156">
        <v>1</v>
      </c>
      <c r="H156" t="s">
        <v>185</v>
      </c>
    </row>
    <row r="157" spans="1:8" x14ac:dyDescent="0.3">
      <c r="A157" t="s">
        <v>90</v>
      </c>
      <c r="B157" t="s">
        <v>34</v>
      </c>
      <c r="C157">
        <v>25</v>
      </c>
      <c r="D157">
        <v>7</v>
      </c>
      <c r="E157">
        <v>28</v>
      </c>
      <c r="F157" t="b">
        <v>1</v>
      </c>
      <c r="G157">
        <v>1</v>
      </c>
      <c r="H157" t="s">
        <v>185</v>
      </c>
    </row>
    <row r="158" spans="1:8" x14ac:dyDescent="0.3">
      <c r="A158" t="s">
        <v>90</v>
      </c>
      <c r="B158" t="s">
        <v>40</v>
      </c>
      <c r="C158">
        <v>28</v>
      </c>
      <c r="D158">
        <v>25</v>
      </c>
      <c r="E158">
        <v>89.285714285714292</v>
      </c>
      <c r="F158" t="b">
        <v>1</v>
      </c>
      <c r="G158">
        <v>0</v>
      </c>
      <c r="H158" t="s">
        <v>186</v>
      </c>
    </row>
    <row r="159" spans="1:8" x14ac:dyDescent="0.3">
      <c r="A159" t="s">
        <v>90</v>
      </c>
      <c r="B159" t="s">
        <v>57</v>
      </c>
      <c r="C159">
        <v>39</v>
      </c>
      <c r="D159">
        <v>30</v>
      </c>
      <c r="E159">
        <v>76.923076923076934</v>
      </c>
      <c r="F159" t="b">
        <v>1</v>
      </c>
      <c r="G159">
        <v>0</v>
      </c>
      <c r="H159" t="s">
        <v>186</v>
      </c>
    </row>
    <row r="160" spans="1:8" x14ac:dyDescent="0.3">
      <c r="A160" t="s">
        <v>90</v>
      </c>
      <c r="B160" t="s">
        <v>42</v>
      </c>
      <c r="C160">
        <v>24</v>
      </c>
      <c r="D160">
        <v>17</v>
      </c>
      <c r="E160">
        <v>70.833333333333343</v>
      </c>
      <c r="F160" t="b">
        <v>1</v>
      </c>
      <c r="G160">
        <v>1</v>
      </c>
      <c r="H160" t="s">
        <v>185</v>
      </c>
    </row>
    <row r="161" spans="1:8" x14ac:dyDescent="0.3">
      <c r="A161" t="s">
        <v>91</v>
      </c>
      <c r="B161" t="s">
        <v>27</v>
      </c>
      <c r="C161">
        <v>36</v>
      </c>
      <c r="D161">
        <v>27</v>
      </c>
      <c r="E161">
        <v>75</v>
      </c>
      <c r="F161" t="b">
        <v>1</v>
      </c>
      <c r="G161">
        <v>0</v>
      </c>
      <c r="H161" t="s">
        <v>186</v>
      </c>
    </row>
    <row r="162" spans="1:8" x14ac:dyDescent="0.3">
      <c r="A162" t="s">
        <v>91</v>
      </c>
      <c r="B162" t="s">
        <v>40</v>
      </c>
      <c r="C162">
        <v>29</v>
      </c>
      <c r="D162">
        <v>15</v>
      </c>
      <c r="E162">
        <v>51.724137931034477</v>
      </c>
      <c r="F162" t="b">
        <v>1</v>
      </c>
      <c r="G162">
        <v>1</v>
      </c>
      <c r="H162" t="s">
        <v>185</v>
      </c>
    </row>
    <row r="163" spans="1:8" x14ac:dyDescent="0.3">
      <c r="A163" t="s">
        <v>91</v>
      </c>
      <c r="B163" t="s">
        <v>57</v>
      </c>
      <c r="C163">
        <v>29</v>
      </c>
      <c r="D163">
        <v>12</v>
      </c>
      <c r="E163">
        <v>41.379310344827587</v>
      </c>
      <c r="F163" t="b">
        <v>1</v>
      </c>
      <c r="G163">
        <v>1</v>
      </c>
      <c r="H163" t="s">
        <v>185</v>
      </c>
    </row>
    <row r="164" spans="1:8" x14ac:dyDescent="0.3">
      <c r="A164" t="s">
        <v>91</v>
      </c>
      <c r="B164" t="s">
        <v>42</v>
      </c>
      <c r="C164">
        <v>32</v>
      </c>
      <c r="D164">
        <v>21</v>
      </c>
      <c r="E164">
        <v>65.625</v>
      </c>
      <c r="F164" t="b">
        <v>1</v>
      </c>
      <c r="G164">
        <v>1</v>
      </c>
      <c r="H164" t="s">
        <v>185</v>
      </c>
    </row>
    <row r="165" spans="1:8" x14ac:dyDescent="0.3">
      <c r="A165" t="s">
        <v>91</v>
      </c>
      <c r="B165" t="s">
        <v>45</v>
      </c>
      <c r="C165">
        <v>29</v>
      </c>
      <c r="D165">
        <v>19</v>
      </c>
      <c r="E165">
        <v>65.517241379310349</v>
      </c>
      <c r="F165" t="b">
        <v>1</v>
      </c>
      <c r="G165">
        <v>1</v>
      </c>
      <c r="H165" t="s">
        <v>185</v>
      </c>
    </row>
    <row r="166" spans="1:8" x14ac:dyDescent="0.3">
      <c r="A166" t="s">
        <v>92</v>
      </c>
      <c r="B166" t="s">
        <v>34</v>
      </c>
      <c r="C166">
        <v>37</v>
      </c>
      <c r="D166">
        <v>26</v>
      </c>
      <c r="E166">
        <v>70.270270270270274</v>
      </c>
      <c r="F166" t="b">
        <v>1</v>
      </c>
      <c r="G166">
        <v>1</v>
      </c>
      <c r="H166" t="s">
        <v>185</v>
      </c>
    </row>
    <row r="167" spans="1:8" x14ac:dyDescent="0.3">
      <c r="A167" t="s">
        <v>92</v>
      </c>
      <c r="B167" t="s">
        <v>38</v>
      </c>
      <c r="C167">
        <v>31</v>
      </c>
      <c r="D167">
        <v>20</v>
      </c>
      <c r="E167">
        <v>64.516129032258064</v>
      </c>
      <c r="F167" t="b">
        <v>1</v>
      </c>
      <c r="G167">
        <v>1</v>
      </c>
      <c r="H167" t="s">
        <v>185</v>
      </c>
    </row>
    <row r="168" spans="1:8" x14ac:dyDescent="0.3">
      <c r="A168" t="s">
        <v>92</v>
      </c>
      <c r="B168" t="s">
        <v>40</v>
      </c>
      <c r="C168">
        <v>35</v>
      </c>
      <c r="D168">
        <v>20</v>
      </c>
      <c r="E168">
        <v>57.142857142857139</v>
      </c>
      <c r="F168" t="b">
        <v>1</v>
      </c>
      <c r="G168">
        <v>1</v>
      </c>
      <c r="H168" t="s">
        <v>185</v>
      </c>
    </row>
    <row r="169" spans="1:8" x14ac:dyDescent="0.3">
      <c r="A169" t="s">
        <v>92</v>
      </c>
      <c r="B169" t="s">
        <v>42</v>
      </c>
      <c r="C169">
        <v>37</v>
      </c>
      <c r="D169">
        <v>28</v>
      </c>
      <c r="E169">
        <v>75.675675675675677</v>
      </c>
      <c r="F169" t="b">
        <v>1</v>
      </c>
      <c r="G169">
        <v>0</v>
      </c>
      <c r="H169" t="s">
        <v>186</v>
      </c>
    </row>
    <row r="170" spans="1:8" x14ac:dyDescent="0.3">
      <c r="A170" t="s">
        <v>93</v>
      </c>
      <c r="B170" t="s">
        <v>51</v>
      </c>
      <c r="C170">
        <v>27</v>
      </c>
      <c r="D170">
        <v>16</v>
      </c>
      <c r="E170">
        <v>59.259259259259252</v>
      </c>
      <c r="F170" t="b">
        <v>1</v>
      </c>
      <c r="G170">
        <v>1</v>
      </c>
      <c r="H170" t="s">
        <v>185</v>
      </c>
    </row>
    <row r="171" spans="1:8" x14ac:dyDescent="0.3">
      <c r="A171" t="s">
        <v>93</v>
      </c>
      <c r="B171" t="s">
        <v>34</v>
      </c>
      <c r="C171">
        <v>37</v>
      </c>
      <c r="D171">
        <v>20</v>
      </c>
      <c r="E171">
        <v>54.054054054054063</v>
      </c>
      <c r="F171" t="b">
        <v>1</v>
      </c>
      <c r="G171">
        <v>1</v>
      </c>
      <c r="H171" t="s">
        <v>185</v>
      </c>
    </row>
    <row r="172" spans="1:8" x14ac:dyDescent="0.3">
      <c r="A172" t="s">
        <v>93</v>
      </c>
      <c r="B172" t="s">
        <v>40</v>
      </c>
      <c r="C172">
        <v>39</v>
      </c>
      <c r="D172">
        <v>17</v>
      </c>
      <c r="E172">
        <v>43.589743589743591</v>
      </c>
      <c r="F172" t="b">
        <v>1</v>
      </c>
      <c r="G172">
        <v>1</v>
      </c>
      <c r="H172" t="s">
        <v>185</v>
      </c>
    </row>
    <row r="173" spans="1:8" x14ac:dyDescent="0.3">
      <c r="A173" t="s">
        <v>93</v>
      </c>
      <c r="B173" t="s">
        <v>57</v>
      </c>
      <c r="C173">
        <v>26</v>
      </c>
      <c r="D173">
        <v>18</v>
      </c>
      <c r="E173">
        <v>69.230769230769226</v>
      </c>
      <c r="F173" t="b">
        <v>1</v>
      </c>
      <c r="G173">
        <v>1</v>
      </c>
      <c r="H173" t="s">
        <v>185</v>
      </c>
    </row>
    <row r="174" spans="1:8" x14ac:dyDescent="0.3">
      <c r="A174" t="s">
        <v>94</v>
      </c>
      <c r="B174" t="s">
        <v>27</v>
      </c>
      <c r="C174">
        <v>29</v>
      </c>
      <c r="D174">
        <v>17</v>
      </c>
      <c r="E174">
        <v>58.620689655172413</v>
      </c>
      <c r="F174" t="b">
        <v>1</v>
      </c>
      <c r="G174">
        <v>1</v>
      </c>
      <c r="H174" t="s">
        <v>185</v>
      </c>
    </row>
    <row r="175" spans="1:8" x14ac:dyDescent="0.3">
      <c r="A175" t="s">
        <v>94</v>
      </c>
      <c r="B175" t="s">
        <v>38</v>
      </c>
      <c r="C175">
        <v>36</v>
      </c>
      <c r="D175">
        <v>27</v>
      </c>
      <c r="E175">
        <v>75</v>
      </c>
      <c r="F175" t="b">
        <v>1</v>
      </c>
      <c r="G175">
        <v>0</v>
      </c>
      <c r="H175" t="s">
        <v>186</v>
      </c>
    </row>
    <row r="176" spans="1:8" x14ac:dyDescent="0.3">
      <c r="A176" t="s">
        <v>94</v>
      </c>
      <c r="B176" t="s">
        <v>40</v>
      </c>
      <c r="C176">
        <v>31</v>
      </c>
      <c r="D176">
        <v>17</v>
      </c>
      <c r="E176">
        <v>54.838709677419352</v>
      </c>
      <c r="F176" t="b">
        <v>1</v>
      </c>
      <c r="G176">
        <v>1</v>
      </c>
      <c r="H176" t="s">
        <v>185</v>
      </c>
    </row>
    <row r="177" spans="1:8" x14ac:dyDescent="0.3">
      <c r="A177" t="s">
        <v>94</v>
      </c>
      <c r="B177" t="s">
        <v>45</v>
      </c>
      <c r="C177">
        <v>29</v>
      </c>
      <c r="D177">
        <v>20</v>
      </c>
      <c r="E177">
        <v>68.965517241379317</v>
      </c>
      <c r="F177" t="b">
        <v>1</v>
      </c>
      <c r="G177">
        <v>1</v>
      </c>
      <c r="H177" t="s">
        <v>185</v>
      </c>
    </row>
    <row r="178" spans="1:8" x14ac:dyDescent="0.3">
      <c r="A178" t="s">
        <v>95</v>
      </c>
      <c r="B178" t="s">
        <v>34</v>
      </c>
      <c r="C178">
        <v>28</v>
      </c>
      <c r="D178">
        <v>19</v>
      </c>
      <c r="E178">
        <v>67.857142857142861</v>
      </c>
      <c r="F178" t="b">
        <v>1</v>
      </c>
      <c r="G178">
        <v>1</v>
      </c>
      <c r="H178" t="s">
        <v>185</v>
      </c>
    </row>
    <row r="179" spans="1:8" x14ac:dyDescent="0.3">
      <c r="A179" t="s">
        <v>95</v>
      </c>
      <c r="B179" t="s">
        <v>38</v>
      </c>
      <c r="C179">
        <v>29</v>
      </c>
      <c r="D179">
        <v>12</v>
      </c>
      <c r="E179">
        <v>41.379310344827587</v>
      </c>
      <c r="F179" t="b">
        <v>1</v>
      </c>
      <c r="G179">
        <v>1</v>
      </c>
      <c r="H179" t="s">
        <v>185</v>
      </c>
    </row>
    <row r="180" spans="1:8" x14ac:dyDescent="0.3">
      <c r="A180" t="s">
        <v>95</v>
      </c>
      <c r="B180" t="s">
        <v>40</v>
      </c>
      <c r="C180">
        <v>27</v>
      </c>
      <c r="D180">
        <v>17</v>
      </c>
      <c r="E180">
        <v>62.962962962962962</v>
      </c>
      <c r="F180" t="b">
        <v>1</v>
      </c>
      <c r="G180">
        <v>1</v>
      </c>
      <c r="H180" t="s">
        <v>185</v>
      </c>
    </row>
    <row r="181" spans="1:8" x14ac:dyDescent="0.3">
      <c r="A181" t="s">
        <v>95</v>
      </c>
      <c r="B181" t="s">
        <v>57</v>
      </c>
      <c r="C181">
        <v>38</v>
      </c>
      <c r="D181">
        <v>22</v>
      </c>
      <c r="E181">
        <v>57.894736842105267</v>
      </c>
      <c r="F181" t="b">
        <v>1</v>
      </c>
      <c r="G181">
        <v>1</v>
      </c>
      <c r="H181" t="s">
        <v>185</v>
      </c>
    </row>
    <row r="182" spans="1:8" x14ac:dyDescent="0.3">
      <c r="A182" t="s">
        <v>95</v>
      </c>
      <c r="B182" t="s">
        <v>45</v>
      </c>
      <c r="C182">
        <v>32</v>
      </c>
      <c r="D182">
        <v>17</v>
      </c>
      <c r="E182">
        <v>53.125</v>
      </c>
      <c r="F182" t="b">
        <v>1</v>
      </c>
      <c r="G182">
        <v>1</v>
      </c>
      <c r="H182" t="s">
        <v>185</v>
      </c>
    </row>
    <row r="183" spans="1:8" x14ac:dyDescent="0.3">
      <c r="A183" t="s">
        <v>96</v>
      </c>
      <c r="B183" t="s">
        <v>27</v>
      </c>
      <c r="C183">
        <v>38</v>
      </c>
      <c r="D183">
        <v>36</v>
      </c>
      <c r="E183">
        <v>94.736842105263165</v>
      </c>
      <c r="F183" t="b">
        <v>1</v>
      </c>
      <c r="G183">
        <v>0</v>
      </c>
      <c r="H183" t="s">
        <v>186</v>
      </c>
    </row>
    <row r="184" spans="1:8" x14ac:dyDescent="0.3">
      <c r="A184" t="s">
        <v>96</v>
      </c>
      <c r="B184" t="s">
        <v>51</v>
      </c>
      <c r="C184">
        <v>31</v>
      </c>
      <c r="D184">
        <v>27</v>
      </c>
      <c r="E184">
        <v>87.096774193548384</v>
      </c>
      <c r="F184" t="b">
        <v>1</v>
      </c>
      <c r="G184">
        <v>0</v>
      </c>
      <c r="H184" t="s">
        <v>186</v>
      </c>
    </row>
    <row r="185" spans="1:8" x14ac:dyDescent="0.3">
      <c r="A185" t="s">
        <v>96</v>
      </c>
      <c r="B185" t="s">
        <v>40</v>
      </c>
      <c r="C185">
        <v>32</v>
      </c>
      <c r="D185">
        <v>15</v>
      </c>
      <c r="E185">
        <v>46.875</v>
      </c>
      <c r="F185" t="b">
        <v>1</v>
      </c>
      <c r="G185">
        <v>1</v>
      </c>
      <c r="H185" t="s">
        <v>185</v>
      </c>
    </row>
    <row r="186" spans="1:8" x14ac:dyDescent="0.3">
      <c r="A186" t="s">
        <v>96</v>
      </c>
      <c r="B186" t="s">
        <v>57</v>
      </c>
      <c r="C186">
        <v>25</v>
      </c>
      <c r="D186">
        <v>16</v>
      </c>
      <c r="E186">
        <v>64</v>
      </c>
      <c r="F186" t="b">
        <v>1</v>
      </c>
      <c r="G186">
        <v>1</v>
      </c>
      <c r="H186" t="s">
        <v>185</v>
      </c>
    </row>
    <row r="187" spans="1:8" x14ac:dyDescent="0.3">
      <c r="A187" t="s">
        <v>96</v>
      </c>
      <c r="B187" t="s">
        <v>42</v>
      </c>
      <c r="C187">
        <v>25</v>
      </c>
      <c r="D187">
        <v>21</v>
      </c>
      <c r="E187">
        <v>84</v>
      </c>
      <c r="F187" t="b">
        <v>1</v>
      </c>
      <c r="G187">
        <v>0</v>
      </c>
      <c r="H187" t="s">
        <v>186</v>
      </c>
    </row>
    <row r="188" spans="1:8" x14ac:dyDescent="0.3">
      <c r="A188" t="s">
        <v>96</v>
      </c>
      <c r="B188" t="s">
        <v>45</v>
      </c>
      <c r="C188">
        <v>31</v>
      </c>
      <c r="D188">
        <v>26</v>
      </c>
      <c r="E188">
        <v>83.870967741935488</v>
      </c>
      <c r="F188" t="b">
        <v>1</v>
      </c>
      <c r="G188">
        <v>0</v>
      </c>
      <c r="H188" t="s">
        <v>186</v>
      </c>
    </row>
    <row r="189" spans="1:8" x14ac:dyDescent="0.3">
      <c r="A189" t="s">
        <v>97</v>
      </c>
      <c r="B189" t="s">
        <v>27</v>
      </c>
      <c r="C189">
        <v>35</v>
      </c>
      <c r="D189">
        <v>21</v>
      </c>
      <c r="E189">
        <v>60</v>
      </c>
      <c r="F189" t="b">
        <v>1</v>
      </c>
      <c r="G189">
        <v>1</v>
      </c>
      <c r="H189" t="s">
        <v>185</v>
      </c>
    </row>
    <row r="190" spans="1:8" x14ac:dyDescent="0.3">
      <c r="A190" t="s">
        <v>97</v>
      </c>
      <c r="B190" t="s">
        <v>34</v>
      </c>
      <c r="C190">
        <v>33</v>
      </c>
      <c r="D190">
        <v>20</v>
      </c>
      <c r="E190">
        <v>60.606060606060609</v>
      </c>
      <c r="F190" t="b">
        <v>1</v>
      </c>
      <c r="G190">
        <v>1</v>
      </c>
      <c r="H190" t="s">
        <v>185</v>
      </c>
    </row>
    <row r="191" spans="1:8" x14ac:dyDescent="0.3">
      <c r="A191" t="s">
        <v>97</v>
      </c>
      <c r="B191" t="s">
        <v>40</v>
      </c>
      <c r="C191">
        <v>29</v>
      </c>
      <c r="D191">
        <v>14</v>
      </c>
      <c r="E191">
        <v>48.275862068965523</v>
      </c>
      <c r="F191" t="b">
        <v>1</v>
      </c>
      <c r="G191">
        <v>1</v>
      </c>
      <c r="H191" t="s">
        <v>185</v>
      </c>
    </row>
    <row r="192" spans="1:8" x14ac:dyDescent="0.3">
      <c r="A192" t="s">
        <v>97</v>
      </c>
      <c r="B192" t="s">
        <v>57</v>
      </c>
      <c r="C192">
        <v>36</v>
      </c>
      <c r="D192">
        <v>30</v>
      </c>
      <c r="E192">
        <v>83.333333333333343</v>
      </c>
      <c r="F192" t="b">
        <v>1</v>
      </c>
      <c r="G192">
        <v>0</v>
      </c>
      <c r="H192" t="s">
        <v>186</v>
      </c>
    </row>
    <row r="193" spans="1:8" x14ac:dyDescent="0.3">
      <c r="A193" t="s">
        <v>98</v>
      </c>
      <c r="B193" t="s">
        <v>34</v>
      </c>
      <c r="C193">
        <v>28</v>
      </c>
      <c r="D193">
        <v>14</v>
      </c>
      <c r="E193">
        <v>50</v>
      </c>
      <c r="F193" t="b">
        <v>1</v>
      </c>
      <c r="G193">
        <v>1</v>
      </c>
      <c r="H193" t="s">
        <v>185</v>
      </c>
    </row>
    <row r="194" spans="1:8" x14ac:dyDescent="0.3">
      <c r="A194" t="s">
        <v>98</v>
      </c>
      <c r="B194" t="s">
        <v>40</v>
      </c>
      <c r="C194">
        <v>39</v>
      </c>
      <c r="D194">
        <v>21</v>
      </c>
      <c r="E194">
        <v>53.846153846153847</v>
      </c>
      <c r="F194" t="b">
        <v>1</v>
      </c>
      <c r="G194">
        <v>1</v>
      </c>
      <c r="H194" t="s">
        <v>185</v>
      </c>
    </row>
    <row r="195" spans="1:8" x14ac:dyDescent="0.3">
      <c r="A195" t="s">
        <v>98</v>
      </c>
      <c r="B195" t="s">
        <v>42</v>
      </c>
      <c r="C195">
        <v>37</v>
      </c>
      <c r="D195">
        <v>16</v>
      </c>
      <c r="E195">
        <v>43.243243243243242</v>
      </c>
      <c r="F195" t="b">
        <v>1</v>
      </c>
      <c r="G195">
        <v>1</v>
      </c>
      <c r="H195" t="s">
        <v>185</v>
      </c>
    </row>
    <row r="196" spans="1:8" x14ac:dyDescent="0.3">
      <c r="A196" t="s">
        <v>98</v>
      </c>
      <c r="B196" t="s">
        <v>45</v>
      </c>
      <c r="C196">
        <v>35</v>
      </c>
      <c r="D196">
        <v>18</v>
      </c>
      <c r="E196">
        <v>51.428571428571423</v>
      </c>
      <c r="F196" t="b">
        <v>1</v>
      </c>
      <c r="G196">
        <v>1</v>
      </c>
      <c r="H196" t="s">
        <v>185</v>
      </c>
    </row>
    <row r="197" spans="1:8" x14ac:dyDescent="0.3">
      <c r="A197" t="s">
        <v>99</v>
      </c>
      <c r="B197" t="s">
        <v>27</v>
      </c>
      <c r="C197">
        <v>24</v>
      </c>
      <c r="D197">
        <v>20</v>
      </c>
      <c r="E197">
        <v>83.333333333333343</v>
      </c>
      <c r="F197" t="b">
        <v>1</v>
      </c>
      <c r="G197">
        <v>0</v>
      </c>
      <c r="H197" t="s">
        <v>186</v>
      </c>
    </row>
    <row r="198" spans="1:8" x14ac:dyDescent="0.3">
      <c r="A198" t="s">
        <v>99</v>
      </c>
      <c r="B198" t="s">
        <v>51</v>
      </c>
      <c r="C198">
        <v>40</v>
      </c>
      <c r="D198">
        <v>30</v>
      </c>
      <c r="E198">
        <v>75</v>
      </c>
      <c r="F198" t="b">
        <v>1</v>
      </c>
      <c r="G198">
        <v>0</v>
      </c>
      <c r="H198" t="s">
        <v>186</v>
      </c>
    </row>
    <row r="199" spans="1:8" x14ac:dyDescent="0.3">
      <c r="A199" t="s">
        <v>99</v>
      </c>
      <c r="B199" t="s">
        <v>38</v>
      </c>
      <c r="C199">
        <v>27</v>
      </c>
      <c r="D199">
        <v>18</v>
      </c>
      <c r="E199">
        <v>66.666666666666657</v>
      </c>
      <c r="F199" t="b">
        <v>1</v>
      </c>
      <c r="G199">
        <v>1</v>
      </c>
      <c r="H199" t="s">
        <v>185</v>
      </c>
    </row>
    <row r="200" spans="1:8" x14ac:dyDescent="0.3">
      <c r="A200" t="s">
        <v>99</v>
      </c>
      <c r="B200" t="s">
        <v>45</v>
      </c>
      <c r="C200">
        <v>39</v>
      </c>
      <c r="D200">
        <v>28</v>
      </c>
      <c r="E200">
        <v>71.794871794871796</v>
      </c>
      <c r="F200" t="b">
        <v>1</v>
      </c>
      <c r="G200">
        <v>1</v>
      </c>
      <c r="H200" t="s">
        <v>185</v>
      </c>
    </row>
    <row r="201" spans="1:8" x14ac:dyDescent="0.3">
      <c r="A201" t="s">
        <v>100</v>
      </c>
      <c r="B201" t="s">
        <v>27</v>
      </c>
      <c r="C201">
        <v>24</v>
      </c>
      <c r="D201">
        <v>12</v>
      </c>
      <c r="E201">
        <v>50</v>
      </c>
      <c r="F201" t="b">
        <v>1</v>
      </c>
      <c r="G201">
        <v>1</v>
      </c>
      <c r="H201" t="s">
        <v>185</v>
      </c>
    </row>
    <row r="202" spans="1:8" x14ac:dyDescent="0.3">
      <c r="A202" t="s">
        <v>100</v>
      </c>
      <c r="B202" t="s">
        <v>51</v>
      </c>
      <c r="C202">
        <v>26</v>
      </c>
      <c r="D202">
        <v>12</v>
      </c>
      <c r="E202">
        <v>46.153846153846153</v>
      </c>
      <c r="F202" t="b">
        <v>1</v>
      </c>
      <c r="G202">
        <v>1</v>
      </c>
      <c r="H202" t="s">
        <v>185</v>
      </c>
    </row>
    <row r="203" spans="1:8" x14ac:dyDescent="0.3">
      <c r="A203" t="s">
        <v>100</v>
      </c>
      <c r="B203" t="s">
        <v>34</v>
      </c>
      <c r="C203">
        <v>29</v>
      </c>
      <c r="D203">
        <v>15</v>
      </c>
      <c r="E203">
        <v>51.724137931034477</v>
      </c>
      <c r="F203" t="b">
        <v>1</v>
      </c>
      <c r="G203">
        <v>1</v>
      </c>
      <c r="H203" t="s">
        <v>185</v>
      </c>
    </row>
    <row r="204" spans="1:8" x14ac:dyDescent="0.3">
      <c r="A204" t="s">
        <v>100</v>
      </c>
      <c r="B204" t="s">
        <v>38</v>
      </c>
      <c r="C204">
        <v>40</v>
      </c>
      <c r="D204">
        <v>27</v>
      </c>
      <c r="E204">
        <v>67.5</v>
      </c>
      <c r="F204" t="b">
        <v>1</v>
      </c>
      <c r="G204">
        <v>1</v>
      </c>
      <c r="H204" t="s">
        <v>185</v>
      </c>
    </row>
    <row r="205" spans="1:8" x14ac:dyDescent="0.3">
      <c r="A205" t="s">
        <v>100</v>
      </c>
      <c r="B205" t="s">
        <v>57</v>
      </c>
      <c r="C205">
        <v>31</v>
      </c>
      <c r="D205">
        <v>20</v>
      </c>
      <c r="E205">
        <v>64.516129032258064</v>
      </c>
      <c r="F205" t="b">
        <v>1</v>
      </c>
      <c r="G205">
        <v>1</v>
      </c>
      <c r="H205" t="s">
        <v>185</v>
      </c>
    </row>
    <row r="206" spans="1:8" x14ac:dyDescent="0.3">
      <c r="A206" t="s">
        <v>101</v>
      </c>
      <c r="B206" t="s">
        <v>51</v>
      </c>
      <c r="C206">
        <v>39</v>
      </c>
      <c r="D206">
        <v>21</v>
      </c>
      <c r="E206">
        <v>53.846153846153847</v>
      </c>
      <c r="F206" t="b">
        <v>1</v>
      </c>
      <c r="G206">
        <v>1</v>
      </c>
      <c r="H206" t="s">
        <v>185</v>
      </c>
    </row>
    <row r="207" spans="1:8" x14ac:dyDescent="0.3">
      <c r="A207" t="s">
        <v>101</v>
      </c>
      <c r="B207" t="s">
        <v>38</v>
      </c>
      <c r="C207">
        <v>24</v>
      </c>
      <c r="D207">
        <v>7</v>
      </c>
      <c r="E207">
        <v>29.166666666666671</v>
      </c>
      <c r="F207" t="b">
        <v>1</v>
      </c>
      <c r="G207">
        <v>1</v>
      </c>
      <c r="H207" t="s">
        <v>185</v>
      </c>
    </row>
    <row r="208" spans="1:8" x14ac:dyDescent="0.3">
      <c r="A208" t="s">
        <v>101</v>
      </c>
      <c r="B208" t="s">
        <v>40</v>
      </c>
      <c r="C208">
        <v>29</v>
      </c>
      <c r="D208">
        <v>14</v>
      </c>
      <c r="E208">
        <v>48.275862068965523</v>
      </c>
      <c r="F208" t="b">
        <v>1</v>
      </c>
      <c r="G208">
        <v>1</v>
      </c>
      <c r="H208" t="s">
        <v>185</v>
      </c>
    </row>
    <row r="209" spans="1:8" x14ac:dyDescent="0.3">
      <c r="A209" t="s">
        <v>101</v>
      </c>
      <c r="B209" t="s">
        <v>42</v>
      </c>
      <c r="C209">
        <v>38</v>
      </c>
      <c r="D209">
        <v>21</v>
      </c>
      <c r="E209">
        <v>55.26315789473685</v>
      </c>
      <c r="F209" t="b">
        <v>1</v>
      </c>
      <c r="G209">
        <v>1</v>
      </c>
      <c r="H209" t="s">
        <v>185</v>
      </c>
    </row>
    <row r="210" spans="1:8" x14ac:dyDescent="0.3">
      <c r="A210" t="s">
        <v>101</v>
      </c>
      <c r="B210" t="s">
        <v>45</v>
      </c>
      <c r="C210">
        <v>37</v>
      </c>
      <c r="D210">
        <v>19</v>
      </c>
      <c r="E210">
        <v>51.351351351351347</v>
      </c>
      <c r="F210" t="b">
        <v>1</v>
      </c>
      <c r="G210">
        <v>1</v>
      </c>
      <c r="H210" t="s">
        <v>185</v>
      </c>
    </row>
    <row r="211" spans="1:8" x14ac:dyDescent="0.3">
      <c r="A211" t="s">
        <v>102</v>
      </c>
      <c r="B211" t="s">
        <v>27</v>
      </c>
      <c r="C211">
        <v>39</v>
      </c>
      <c r="D211">
        <v>30</v>
      </c>
      <c r="E211">
        <v>76.923076923076934</v>
      </c>
      <c r="F211" t="b">
        <v>1</v>
      </c>
      <c r="G211">
        <v>0</v>
      </c>
      <c r="H211" t="s">
        <v>186</v>
      </c>
    </row>
    <row r="212" spans="1:8" x14ac:dyDescent="0.3">
      <c r="A212" t="s">
        <v>102</v>
      </c>
      <c r="B212" t="s">
        <v>34</v>
      </c>
      <c r="C212">
        <v>33</v>
      </c>
      <c r="D212">
        <v>24</v>
      </c>
      <c r="E212">
        <v>72.727272727272734</v>
      </c>
      <c r="F212" t="b">
        <v>1</v>
      </c>
      <c r="G212">
        <v>1</v>
      </c>
      <c r="H212" t="s">
        <v>185</v>
      </c>
    </row>
    <row r="213" spans="1:8" x14ac:dyDescent="0.3">
      <c r="A213" t="s">
        <v>102</v>
      </c>
      <c r="B213" t="s">
        <v>40</v>
      </c>
      <c r="C213">
        <v>29</v>
      </c>
      <c r="D213">
        <v>22</v>
      </c>
      <c r="E213">
        <v>75.862068965517238</v>
      </c>
      <c r="F213" t="b">
        <v>1</v>
      </c>
      <c r="G213">
        <v>0</v>
      </c>
      <c r="H213" t="s">
        <v>186</v>
      </c>
    </row>
    <row r="214" spans="1:8" x14ac:dyDescent="0.3">
      <c r="A214" t="s">
        <v>102</v>
      </c>
      <c r="B214" t="s">
        <v>57</v>
      </c>
      <c r="C214">
        <v>28</v>
      </c>
      <c r="D214">
        <v>25</v>
      </c>
      <c r="E214">
        <v>89.285714285714292</v>
      </c>
      <c r="F214" t="b">
        <v>1</v>
      </c>
      <c r="G214">
        <v>0</v>
      </c>
      <c r="H214" t="s">
        <v>186</v>
      </c>
    </row>
    <row r="215" spans="1:8" x14ac:dyDescent="0.3">
      <c r="A215" t="s">
        <v>102</v>
      </c>
      <c r="B215" t="s">
        <v>42</v>
      </c>
      <c r="C215">
        <v>31</v>
      </c>
      <c r="D215">
        <v>29</v>
      </c>
      <c r="E215">
        <v>93.548387096774206</v>
      </c>
      <c r="F215" t="b">
        <v>1</v>
      </c>
      <c r="G215">
        <v>0</v>
      </c>
      <c r="H215" t="s">
        <v>186</v>
      </c>
    </row>
    <row r="216" spans="1:8" x14ac:dyDescent="0.3">
      <c r="A216" t="s">
        <v>102</v>
      </c>
      <c r="B216" t="s">
        <v>45</v>
      </c>
      <c r="C216">
        <v>39</v>
      </c>
      <c r="D216">
        <v>24</v>
      </c>
      <c r="E216">
        <v>61.53846153846154</v>
      </c>
      <c r="F216" t="b">
        <v>1</v>
      </c>
      <c r="G216">
        <v>1</v>
      </c>
      <c r="H216" t="s">
        <v>185</v>
      </c>
    </row>
    <row r="217" spans="1:8" x14ac:dyDescent="0.3">
      <c r="A217" t="s">
        <v>103</v>
      </c>
      <c r="B217" t="s">
        <v>27</v>
      </c>
      <c r="C217">
        <v>39</v>
      </c>
      <c r="D217">
        <v>24</v>
      </c>
      <c r="E217">
        <v>61.53846153846154</v>
      </c>
      <c r="F217" t="b">
        <v>1</v>
      </c>
      <c r="G217">
        <v>1</v>
      </c>
      <c r="H217" t="s">
        <v>185</v>
      </c>
    </row>
    <row r="218" spans="1:8" x14ac:dyDescent="0.3">
      <c r="A218" t="s">
        <v>103</v>
      </c>
      <c r="B218" t="s">
        <v>34</v>
      </c>
      <c r="C218">
        <v>28</v>
      </c>
      <c r="D218">
        <v>21</v>
      </c>
      <c r="E218">
        <v>75</v>
      </c>
      <c r="F218" t="b">
        <v>1</v>
      </c>
      <c r="G218">
        <v>0</v>
      </c>
      <c r="H218" t="s">
        <v>186</v>
      </c>
    </row>
    <row r="219" spans="1:8" x14ac:dyDescent="0.3">
      <c r="A219" t="s">
        <v>103</v>
      </c>
      <c r="B219" t="s">
        <v>38</v>
      </c>
      <c r="C219">
        <v>33</v>
      </c>
      <c r="D219">
        <v>22</v>
      </c>
      <c r="E219">
        <v>66.666666666666657</v>
      </c>
      <c r="F219" t="b">
        <v>1</v>
      </c>
      <c r="G219">
        <v>1</v>
      </c>
      <c r="H219" t="s">
        <v>185</v>
      </c>
    </row>
    <row r="220" spans="1:8" x14ac:dyDescent="0.3">
      <c r="A220" t="s">
        <v>103</v>
      </c>
      <c r="B220" t="s">
        <v>40</v>
      </c>
      <c r="C220">
        <v>31</v>
      </c>
      <c r="D220">
        <v>21</v>
      </c>
      <c r="E220">
        <v>67.741935483870961</v>
      </c>
      <c r="F220" t="b">
        <v>1</v>
      </c>
      <c r="G220">
        <v>1</v>
      </c>
      <c r="H220" t="s">
        <v>185</v>
      </c>
    </row>
    <row r="221" spans="1:8" x14ac:dyDescent="0.3">
      <c r="A221" t="s">
        <v>103</v>
      </c>
      <c r="B221" t="s">
        <v>42</v>
      </c>
      <c r="C221">
        <v>38</v>
      </c>
      <c r="D221">
        <v>28</v>
      </c>
      <c r="E221">
        <v>73.68421052631578</v>
      </c>
      <c r="F221" t="b">
        <v>1</v>
      </c>
      <c r="G221">
        <v>1</v>
      </c>
      <c r="H221" t="s">
        <v>185</v>
      </c>
    </row>
    <row r="222" spans="1:8" x14ac:dyDescent="0.3">
      <c r="A222" t="s">
        <v>104</v>
      </c>
      <c r="B222" t="s">
        <v>27</v>
      </c>
      <c r="C222">
        <v>24</v>
      </c>
      <c r="D222">
        <v>17</v>
      </c>
      <c r="E222">
        <v>70.833333333333343</v>
      </c>
      <c r="F222" t="b">
        <v>1</v>
      </c>
      <c r="G222">
        <v>1</v>
      </c>
      <c r="H222" t="s">
        <v>185</v>
      </c>
    </row>
    <row r="223" spans="1:8" x14ac:dyDescent="0.3">
      <c r="A223" t="s">
        <v>104</v>
      </c>
      <c r="B223" t="s">
        <v>51</v>
      </c>
      <c r="C223">
        <v>34</v>
      </c>
      <c r="D223">
        <v>21</v>
      </c>
      <c r="E223">
        <v>61.764705882352942</v>
      </c>
      <c r="F223" t="b">
        <v>1</v>
      </c>
      <c r="G223">
        <v>1</v>
      </c>
      <c r="H223" t="s">
        <v>185</v>
      </c>
    </row>
    <row r="224" spans="1:8" x14ac:dyDescent="0.3">
      <c r="A224" t="s">
        <v>104</v>
      </c>
      <c r="B224" t="s">
        <v>34</v>
      </c>
      <c r="C224">
        <v>25</v>
      </c>
      <c r="D224">
        <v>13</v>
      </c>
      <c r="E224">
        <v>52</v>
      </c>
      <c r="F224" t="b">
        <v>1</v>
      </c>
      <c r="G224">
        <v>1</v>
      </c>
      <c r="H224" t="s">
        <v>185</v>
      </c>
    </row>
    <row r="225" spans="1:8" x14ac:dyDescent="0.3">
      <c r="A225" t="s">
        <v>104</v>
      </c>
      <c r="B225" t="s">
        <v>57</v>
      </c>
      <c r="C225">
        <v>27</v>
      </c>
      <c r="D225">
        <v>9</v>
      </c>
      <c r="E225">
        <v>33.333333333333329</v>
      </c>
      <c r="F225" t="b">
        <v>1</v>
      </c>
      <c r="G225">
        <v>1</v>
      </c>
      <c r="H225" t="s">
        <v>185</v>
      </c>
    </row>
    <row r="226" spans="1:8" x14ac:dyDescent="0.3">
      <c r="A226" t="s">
        <v>104</v>
      </c>
      <c r="B226" t="s">
        <v>42</v>
      </c>
      <c r="C226">
        <v>29</v>
      </c>
      <c r="D226">
        <v>11</v>
      </c>
      <c r="E226">
        <v>37.931034482758619</v>
      </c>
      <c r="F226" t="b">
        <v>1</v>
      </c>
      <c r="G226">
        <v>1</v>
      </c>
      <c r="H226" t="s">
        <v>185</v>
      </c>
    </row>
    <row r="227" spans="1:8" x14ac:dyDescent="0.3">
      <c r="A227" t="s">
        <v>104</v>
      </c>
      <c r="B227" t="s">
        <v>45</v>
      </c>
      <c r="C227">
        <v>38</v>
      </c>
      <c r="D227">
        <v>19</v>
      </c>
      <c r="E227">
        <v>50</v>
      </c>
      <c r="F227" t="b">
        <v>1</v>
      </c>
      <c r="G227">
        <v>1</v>
      </c>
      <c r="H227" t="s">
        <v>185</v>
      </c>
    </row>
    <row r="228" spans="1:8" x14ac:dyDescent="0.3">
      <c r="A228" t="s">
        <v>105</v>
      </c>
      <c r="B228" t="s">
        <v>27</v>
      </c>
      <c r="C228">
        <v>28</v>
      </c>
      <c r="D228">
        <v>16</v>
      </c>
      <c r="E228">
        <v>57.142857142857139</v>
      </c>
      <c r="F228" t="b">
        <v>1</v>
      </c>
      <c r="G228">
        <v>1</v>
      </c>
      <c r="H228" t="s">
        <v>185</v>
      </c>
    </row>
    <row r="229" spans="1:8" x14ac:dyDescent="0.3">
      <c r="A229" t="s">
        <v>105</v>
      </c>
      <c r="B229" t="s">
        <v>38</v>
      </c>
      <c r="C229">
        <v>39</v>
      </c>
      <c r="D229">
        <v>27</v>
      </c>
      <c r="E229">
        <v>69.230769230769226</v>
      </c>
      <c r="F229" t="b">
        <v>1</v>
      </c>
      <c r="G229">
        <v>1</v>
      </c>
      <c r="H229" t="s">
        <v>185</v>
      </c>
    </row>
    <row r="230" spans="1:8" x14ac:dyDescent="0.3">
      <c r="A230" t="s">
        <v>105</v>
      </c>
      <c r="B230" t="s">
        <v>57</v>
      </c>
      <c r="C230">
        <v>27</v>
      </c>
      <c r="D230">
        <v>16</v>
      </c>
      <c r="E230">
        <v>59.259259259259252</v>
      </c>
      <c r="F230" t="b">
        <v>1</v>
      </c>
      <c r="G230">
        <v>1</v>
      </c>
      <c r="H230" t="s">
        <v>185</v>
      </c>
    </row>
    <row r="231" spans="1:8" x14ac:dyDescent="0.3">
      <c r="A231" t="s">
        <v>105</v>
      </c>
      <c r="B231" t="s">
        <v>45</v>
      </c>
      <c r="C231">
        <v>34</v>
      </c>
      <c r="D231">
        <v>17</v>
      </c>
      <c r="E231">
        <v>50</v>
      </c>
      <c r="F231" t="b">
        <v>1</v>
      </c>
      <c r="G231">
        <v>1</v>
      </c>
      <c r="H231" t="s">
        <v>185</v>
      </c>
    </row>
    <row r="232" spans="1:8" x14ac:dyDescent="0.3">
      <c r="A232" t="s">
        <v>106</v>
      </c>
      <c r="B232" t="s">
        <v>51</v>
      </c>
      <c r="C232">
        <v>36</v>
      </c>
      <c r="D232">
        <v>13</v>
      </c>
      <c r="E232">
        <v>36.111111111111107</v>
      </c>
      <c r="F232" t="b">
        <v>1</v>
      </c>
      <c r="G232">
        <v>1</v>
      </c>
      <c r="H232" t="s">
        <v>185</v>
      </c>
    </row>
    <row r="233" spans="1:8" x14ac:dyDescent="0.3">
      <c r="A233" t="s">
        <v>106</v>
      </c>
      <c r="B233" t="s">
        <v>34</v>
      </c>
      <c r="C233">
        <v>31</v>
      </c>
      <c r="D233">
        <v>18</v>
      </c>
      <c r="E233">
        <v>58.064516129032263</v>
      </c>
      <c r="F233" t="b">
        <v>1</v>
      </c>
      <c r="G233">
        <v>1</v>
      </c>
      <c r="H233" t="s">
        <v>185</v>
      </c>
    </row>
    <row r="234" spans="1:8" x14ac:dyDescent="0.3">
      <c r="A234" t="s">
        <v>106</v>
      </c>
      <c r="B234" t="s">
        <v>57</v>
      </c>
      <c r="C234">
        <v>34</v>
      </c>
      <c r="D234">
        <v>14</v>
      </c>
      <c r="E234">
        <v>41.17647058823529</v>
      </c>
      <c r="F234" t="b">
        <v>1</v>
      </c>
      <c r="G234">
        <v>1</v>
      </c>
      <c r="H234" t="s">
        <v>185</v>
      </c>
    </row>
    <row r="235" spans="1:8" x14ac:dyDescent="0.3">
      <c r="A235" t="s">
        <v>106</v>
      </c>
      <c r="B235" t="s">
        <v>45</v>
      </c>
      <c r="C235">
        <v>27</v>
      </c>
      <c r="D235">
        <v>23</v>
      </c>
      <c r="E235">
        <v>85.18518518518519</v>
      </c>
      <c r="F235" t="b">
        <v>1</v>
      </c>
      <c r="G235">
        <v>0</v>
      </c>
      <c r="H235" t="s">
        <v>186</v>
      </c>
    </row>
    <row r="236" spans="1:8" x14ac:dyDescent="0.3">
      <c r="A236" t="s">
        <v>107</v>
      </c>
      <c r="B236" t="s">
        <v>51</v>
      </c>
      <c r="C236">
        <v>30</v>
      </c>
      <c r="D236">
        <v>18</v>
      </c>
      <c r="E236">
        <v>60</v>
      </c>
      <c r="F236" t="b">
        <v>1</v>
      </c>
      <c r="G236">
        <v>1</v>
      </c>
      <c r="H236" t="s">
        <v>185</v>
      </c>
    </row>
    <row r="237" spans="1:8" x14ac:dyDescent="0.3">
      <c r="A237" t="s">
        <v>107</v>
      </c>
      <c r="B237" t="s">
        <v>34</v>
      </c>
      <c r="C237">
        <v>36</v>
      </c>
      <c r="D237">
        <v>25</v>
      </c>
      <c r="E237">
        <v>69.444444444444443</v>
      </c>
      <c r="F237" t="b">
        <v>1</v>
      </c>
      <c r="G237">
        <v>1</v>
      </c>
      <c r="H237" t="s">
        <v>185</v>
      </c>
    </row>
    <row r="238" spans="1:8" x14ac:dyDescent="0.3">
      <c r="A238" t="s">
        <v>107</v>
      </c>
      <c r="B238" t="s">
        <v>57</v>
      </c>
      <c r="C238">
        <v>26</v>
      </c>
      <c r="D238">
        <v>16</v>
      </c>
      <c r="E238">
        <v>61.53846153846154</v>
      </c>
      <c r="F238" t="b">
        <v>1</v>
      </c>
      <c r="G238">
        <v>1</v>
      </c>
      <c r="H238" t="s">
        <v>185</v>
      </c>
    </row>
    <row r="239" spans="1:8" x14ac:dyDescent="0.3">
      <c r="A239" t="s">
        <v>107</v>
      </c>
      <c r="B239" t="s">
        <v>42</v>
      </c>
      <c r="C239">
        <v>31</v>
      </c>
      <c r="D239">
        <v>16</v>
      </c>
      <c r="E239">
        <v>51.612903225806448</v>
      </c>
      <c r="F239" t="b">
        <v>1</v>
      </c>
      <c r="G239">
        <v>1</v>
      </c>
      <c r="H239" t="s">
        <v>185</v>
      </c>
    </row>
    <row r="240" spans="1:8" x14ac:dyDescent="0.3">
      <c r="A240" t="s">
        <v>108</v>
      </c>
      <c r="B240" t="s">
        <v>27</v>
      </c>
      <c r="C240">
        <v>38</v>
      </c>
      <c r="D240">
        <v>24</v>
      </c>
      <c r="E240">
        <v>63.157894736842103</v>
      </c>
      <c r="F240" t="b">
        <v>1</v>
      </c>
      <c r="G240">
        <v>1</v>
      </c>
      <c r="H240" t="s">
        <v>185</v>
      </c>
    </row>
    <row r="241" spans="1:8" x14ac:dyDescent="0.3">
      <c r="A241" t="s">
        <v>108</v>
      </c>
      <c r="B241" t="s">
        <v>51</v>
      </c>
      <c r="C241">
        <v>26</v>
      </c>
      <c r="D241">
        <v>17</v>
      </c>
      <c r="E241">
        <v>65.384615384615387</v>
      </c>
      <c r="F241" t="b">
        <v>1</v>
      </c>
      <c r="G241">
        <v>1</v>
      </c>
      <c r="H241" t="s">
        <v>185</v>
      </c>
    </row>
    <row r="242" spans="1:8" x14ac:dyDescent="0.3">
      <c r="A242" t="s">
        <v>108</v>
      </c>
      <c r="B242" t="s">
        <v>38</v>
      </c>
      <c r="C242">
        <v>35</v>
      </c>
      <c r="D242">
        <v>15</v>
      </c>
      <c r="E242">
        <v>42.857142857142847</v>
      </c>
      <c r="F242" t="b">
        <v>1</v>
      </c>
      <c r="G242">
        <v>1</v>
      </c>
      <c r="H242" t="s">
        <v>185</v>
      </c>
    </row>
    <row r="243" spans="1:8" x14ac:dyDescent="0.3">
      <c r="A243" t="s">
        <v>108</v>
      </c>
      <c r="B243" t="s">
        <v>40</v>
      </c>
      <c r="C243">
        <v>34</v>
      </c>
      <c r="D243">
        <v>17</v>
      </c>
      <c r="E243">
        <v>50</v>
      </c>
      <c r="F243" t="b">
        <v>1</v>
      </c>
      <c r="G243">
        <v>1</v>
      </c>
      <c r="H243" t="s">
        <v>185</v>
      </c>
    </row>
    <row r="244" spans="1:8" x14ac:dyDescent="0.3">
      <c r="A244" t="s">
        <v>108</v>
      </c>
      <c r="B244" t="s">
        <v>57</v>
      </c>
      <c r="C244">
        <v>36</v>
      </c>
      <c r="D244">
        <v>26</v>
      </c>
      <c r="E244">
        <v>72.222222222222214</v>
      </c>
      <c r="F244" t="b">
        <v>1</v>
      </c>
      <c r="G244">
        <v>1</v>
      </c>
      <c r="H244" t="s">
        <v>185</v>
      </c>
    </row>
    <row r="245" spans="1:8" x14ac:dyDescent="0.3">
      <c r="A245" t="s">
        <v>108</v>
      </c>
      <c r="B245" t="s">
        <v>45</v>
      </c>
      <c r="C245">
        <v>40</v>
      </c>
      <c r="D245">
        <v>21</v>
      </c>
      <c r="E245">
        <v>52.5</v>
      </c>
      <c r="F245" t="b">
        <v>1</v>
      </c>
      <c r="G245">
        <v>1</v>
      </c>
      <c r="H245" t="s">
        <v>185</v>
      </c>
    </row>
    <row r="246" spans="1:8" x14ac:dyDescent="0.3">
      <c r="A246" t="s">
        <v>109</v>
      </c>
      <c r="B246" t="s">
        <v>51</v>
      </c>
      <c r="C246">
        <v>26</v>
      </c>
      <c r="D246">
        <v>17</v>
      </c>
      <c r="E246">
        <v>65.384615384615387</v>
      </c>
      <c r="F246" t="b">
        <v>1</v>
      </c>
      <c r="G246">
        <v>1</v>
      </c>
      <c r="H246" t="s">
        <v>185</v>
      </c>
    </row>
    <row r="247" spans="1:8" x14ac:dyDescent="0.3">
      <c r="A247" t="s">
        <v>109</v>
      </c>
      <c r="B247" t="s">
        <v>34</v>
      </c>
      <c r="C247">
        <v>31</v>
      </c>
      <c r="D247">
        <v>16</v>
      </c>
      <c r="E247">
        <v>51.612903225806448</v>
      </c>
      <c r="F247" t="b">
        <v>1</v>
      </c>
      <c r="G247">
        <v>1</v>
      </c>
      <c r="H247" t="s">
        <v>185</v>
      </c>
    </row>
    <row r="248" spans="1:8" x14ac:dyDescent="0.3">
      <c r="A248" t="s">
        <v>109</v>
      </c>
      <c r="B248" t="s">
        <v>40</v>
      </c>
      <c r="C248">
        <v>35</v>
      </c>
      <c r="D248">
        <v>24</v>
      </c>
      <c r="E248">
        <v>68.571428571428569</v>
      </c>
      <c r="F248" t="b">
        <v>1</v>
      </c>
      <c r="G248">
        <v>1</v>
      </c>
      <c r="H248" t="s">
        <v>185</v>
      </c>
    </row>
    <row r="249" spans="1:8" x14ac:dyDescent="0.3">
      <c r="A249" t="s">
        <v>109</v>
      </c>
      <c r="B249" t="s">
        <v>57</v>
      </c>
      <c r="C249">
        <v>29</v>
      </c>
      <c r="D249">
        <v>24</v>
      </c>
      <c r="E249">
        <v>82.758620689655174</v>
      </c>
      <c r="F249" t="b">
        <v>1</v>
      </c>
      <c r="G249">
        <v>0</v>
      </c>
      <c r="H249" t="s">
        <v>186</v>
      </c>
    </row>
    <row r="250" spans="1:8" x14ac:dyDescent="0.3">
      <c r="A250" t="s">
        <v>110</v>
      </c>
      <c r="B250" t="s">
        <v>27</v>
      </c>
      <c r="C250">
        <v>30</v>
      </c>
      <c r="D250">
        <v>16</v>
      </c>
      <c r="E250">
        <v>53.333333333333343</v>
      </c>
      <c r="F250" t="b">
        <v>1</v>
      </c>
      <c r="G250">
        <v>1</v>
      </c>
      <c r="H250" t="s">
        <v>185</v>
      </c>
    </row>
    <row r="251" spans="1:8" x14ac:dyDescent="0.3">
      <c r="A251" t="s">
        <v>110</v>
      </c>
      <c r="B251" t="s">
        <v>51</v>
      </c>
      <c r="C251">
        <v>31</v>
      </c>
      <c r="D251">
        <v>25</v>
      </c>
      <c r="E251">
        <v>80.645161290322577</v>
      </c>
      <c r="F251" t="b">
        <v>1</v>
      </c>
      <c r="G251">
        <v>0</v>
      </c>
      <c r="H251" t="s">
        <v>186</v>
      </c>
    </row>
    <row r="252" spans="1:8" x14ac:dyDescent="0.3">
      <c r="A252" t="s">
        <v>110</v>
      </c>
      <c r="B252" t="s">
        <v>34</v>
      </c>
      <c r="C252">
        <v>33</v>
      </c>
      <c r="D252">
        <v>23</v>
      </c>
      <c r="E252">
        <v>69.696969696969703</v>
      </c>
      <c r="F252" t="b">
        <v>1</v>
      </c>
      <c r="G252">
        <v>1</v>
      </c>
      <c r="H252" t="s">
        <v>185</v>
      </c>
    </row>
    <row r="253" spans="1:8" x14ac:dyDescent="0.3">
      <c r="A253" t="s">
        <v>110</v>
      </c>
      <c r="B253" t="s">
        <v>40</v>
      </c>
      <c r="C253">
        <v>40</v>
      </c>
      <c r="D253">
        <v>37</v>
      </c>
      <c r="E253">
        <v>92.5</v>
      </c>
      <c r="F253" t="b">
        <v>1</v>
      </c>
      <c r="G253">
        <v>0</v>
      </c>
      <c r="H253" t="s">
        <v>186</v>
      </c>
    </row>
    <row r="254" spans="1:8" x14ac:dyDescent="0.3">
      <c r="A254" t="s">
        <v>110</v>
      </c>
      <c r="B254" t="s">
        <v>45</v>
      </c>
      <c r="C254">
        <v>38</v>
      </c>
      <c r="D254">
        <v>16</v>
      </c>
      <c r="E254">
        <v>42.105263157894733</v>
      </c>
      <c r="F254" t="b">
        <v>1</v>
      </c>
      <c r="G254">
        <v>1</v>
      </c>
      <c r="H254" t="s">
        <v>185</v>
      </c>
    </row>
    <row r="255" spans="1:8" x14ac:dyDescent="0.3">
      <c r="A255" t="s">
        <v>111</v>
      </c>
      <c r="B255" t="s">
        <v>27</v>
      </c>
      <c r="C255">
        <v>33</v>
      </c>
      <c r="D255">
        <v>22</v>
      </c>
      <c r="E255">
        <v>66.666666666666657</v>
      </c>
      <c r="F255" t="b">
        <v>1</v>
      </c>
      <c r="G255">
        <v>1</v>
      </c>
      <c r="H255" t="s">
        <v>185</v>
      </c>
    </row>
    <row r="256" spans="1:8" x14ac:dyDescent="0.3">
      <c r="A256" t="s">
        <v>111</v>
      </c>
      <c r="B256" t="s">
        <v>51</v>
      </c>
      <c r="C256">
        <v>36</v>
      </c>
      <c r="D256">
        <v>24</v>
      </c>
      <c r="E256">
        <v>66.666666666666657</v>
      </c>
      <c r="F256" t="b">
        <v>1</v>
      </c>
      <c r="G256">
        <v>1</v>
      </c>
      <c r="H256" t="s">
        <v>185</v>
      </c>
    </row>
    <row r="257" spans="1:8" x14ac:dyDescent="0.3">
      <c r="A257" t="s">
        <v>111</v>
      </c>
      <c r="B257" t="s">
        <v>34</v>
      </c>
      <c r="C257">
        <v>35</v>
      </c>
      <c r="D257">
        <v>22</v>
      </c>
      <c r="E257">
        <v>62.857142857142847</v>
      </c>
      <c r="F257" t="b">
        <v>1</v>
      </c>
      <c r="G257">
        <v>1</v>
      </c>
      <c r="H257" t="s">
        <v>185</v>
      </c>
    </row>
    <row r="258" spans="1:8" x14ac:dyDescent="0.3">
      <c r="A258" t="s">
        <v>111</v>
      </c>
      <c r="B258" t="s">
        <v>38</v>
      </c>
      <c r="C258">
        <v>29</v>
      </c>
      <c r="D258">
        <v>16</v>
      </c>
      <c r="E258">
        <v>55.172413793103438</v>
      </c>
      <c r="F258" t="b">
        <v>1</v>
      </c>
      <c r="G258">
        <v>1</v>
      </c>
      <c r="H258" t="s">
        <v>185</v>
      </c>
    </row>
    <row r="259" spans="1:8" x14ac:dyDescent="0.3">
      <c r="A259" t="s">
        <v>111</v>
      </c>
      <c r="B259" t="s">
        <v>40</v>
      </c>
      <c r="C259">
        <v>32</v>
      </c>
      <c r="D259">
        <v>21</v>
      </c>
      <c r="E259">
        <v>65.625</v>
      </c>
      <c r="F259" t="b">
        <v>1</v>
      </c>
      <c r="G259">
        <v>1</v>
      </c>
      <c r="H259" t="s">
        <v>185</v>
      </c>
    </row>
    <row r="260" spans="1:8" x14ac:dyDescent="0.3">
      <c r="A260" t="s">
        <v>111</v>
      </c>
      <c r="B260" t="s">
        <v>45</v>
      </c>
      <c r="C260">
        <v>38</v>
      </c>
      <c r="D260">
        <v>17</v>
      </c>
      <c r="E260">
        <v>44.736842105263158</v>
      </c>
      <c r="F260" t="b">
        <v>1</v>
      </c>
      <c r="G260">
        <v>1</v>
      </c>
      <c r="H260" t="s">
        <v>185</v>
      </c>
    </row>
    <row r="261" spans="1:8" x14ac:dyDescent="0.3">
      <c r="A261" t="s">
        <v>112</v>
      </c>
      <c r="B261" t="s">
        <v>27</v>
      </c>
      <c r="C261">
        <v>39</v>
      </c>
      <c r="D261">
        <v>17</v>
      </c>
      <c r="E261">
        <v>43.589743589743591</v>
      </c>
      <c r="F261" t="b">
        <v>1</v>
      </c>
      <c r="G261">
        <v>1</v>
      </c>
      <c r="H261" t="s">
        <v>185</v>
      </c>
    </row>
    <row r="262" spans="1:8" x14ac:dyDescent="0.3">
      <c r="A262" t="s">
        <v>112</v>
      </c>
      <c r="B262" t="s">
        <v>34</v>
      </c>
      <c r="C262">
        <v>34</v>
      </c>
      <c r="D262">
        <v>20</v>
      </c>
      <c r="E262">
        <v>58.82352941176471</v>
      </c>
      <c r="F262" t="b">
        <v>1</v>
      </c>
      <c r="G262">
        <v>1</v>
      </c>
      <c r="H262" t="s">
        <v>185</v>
      </c>
    </row>
    <row r="263" spans="1:8" x14ac:dyDescent="0.3">
      <c r="A263" t="s">
        <v>112</v>
      </c>
      <c r="B263" t="s">
        <v>57</v>
      </c>
      <c r="C263">
        <v>33</v>
      </c>
      <c r="D263">
        <v>19</v>
      </c>
      <c r="E263">
        <v>57.575757575757578</v>
      </c>
      <c r="F263" t="b">
        <v>1</v>
      </c>
      <c r="G263">
        <v>1</v>
      </c>
      <c r="H263" t="s">
        <v>185</v>
      </c>
    </row>
    <row r="264" spans="1:8" x14ac:dyDescent="0.3">
      <c r="A264" t="s">
        <v>112</v>
      </c>
      <c r="B264" t="s">
        <v>42</v>
      </c>
      <c r="C264">
        <v>25</v>
      </c>
      <c r="D264">
        <v>16</v>
      </c>
      <c r="E264">
        <v>64</v>
      </c>
      <c r="F264" t="b">
        <v>1</v>
      </c>
      <c r="G264">
        <v>1</v>
      </c>
      <c r="H264" t="s">
        <v>185</v>
      </c>
    </row>
    <row r="265" spans="1:8" x14ac:dyDescent="0.3">
      <c r="A265" t="s">
        <v>112</v>
      </c>
      <c r="B265" t="s">
        <v>45</v>
      </c>
      <c r="C265">
        <v>39</v>
      </c>
      <c r="D265">
        <v>19</v>
      </c>
      <c r="E265">
        <v>48.717948717948723</v>
      </c>
      <c r="F265" t="b">
        <v>1</v>
      </c>
      <c r="G265">
        <v>1</v>
      </c>
      <c r="H265" t="s">
        <v>185</v>
      </c>
    </row>
    <row r="266" spans="1:8" x14ac:dyDescent="0.3">
      <c r="A266" t="s">
        <v>113</v>
      </c>
      <c r="B266" t="s">
        <v>27</v>
      </c>
      <c r="C266">
        <v>29</v>
      </c>
      <c r="D266">
        <v>16</v>
      </c>
      <c r="E266">
        <v>55.172413793103438</v>
      </c>
      <c r="F266" t="b">
        <v>1</v>
      </c>
      <c r="G266">
        <v>1</v>
      </c>
      <c r="H266" t="s">
        <v>185</v>
      </c>
    </row>
    <row r="267" spans="1:8" x14ac:dyDescent="0.3">
      <c r="A267" t="s">
        <v>113</v>
      </c>
      <c r="B267" t="s">
        <v>51</v>
      </c>
      <c r="C267">
        <v>25</v>
      </c>
      <c r="D267">
        <v>13</v>
      </c>
      <c r="E267">
        <v>52</v>
      </c>
      <c r="F267" t="b">
        <v>1</v>
      </c>
      <c r="G267">
        <v>1</v>
      </c>
      <c r="H267" t="s">
        <v>185</v>
      </c>
    </row>
    <row r="268" spans="1:8" x14ac:dyDescent="0.3">
      <c r="A268" t="s">
        <v>113</v>
      </c>
      <c r="B268" t="s">
        <v>40</v>
      </c>
      <c r="C268">
        <v>37</v>
      </c>
      <c r="D268">
        <v>16</v>
      </c>
      <c r="E268">
        <v>43.243243243243242</v>
      </c>
      <c r="F268" t="b">
        <v>1</v>
      </c>
      <c r="G268">
        <v>1</v>
      </c>
      <c r="H268" t="s">
        <v>185</v>
      </c>
    </row>
    <row r="269" spans="1:8" x14ac:dyDescent="0.3">
      <c r="A269" t="s">
        <v>113</v>
      </c>
      <c r="B269" t="s">
        <v>57</v>
      </c>
      <c r="C269">
        <v>29</v>
      </c>
      <c r="D269">
        <v>20</v>
      </c>
      <c r="E269">
        <v>68.965517241379317</v>
      </c>
      <c r="F269" t="b">
        <v>1</v>
      </c>
      <c r="G269">
        <v>1</v>
      </c>
      <c r="H269" t="s">
        <v>185</v>
      </c>
    </row>
    <row r="270" spans="1:8" x14ac:dyDescent="0.3">
      <c r="A270" t="s">
        <v>114</v>
      </c>
      <c r="B270" t="s">
        <v>34</v>
      </c>
      <c r="C270">
        <v>34</v>
      </c>
      <c r="D270">
        <v>22</v>
      </c>
      <c r="E270">
        <v>64.705882352941174</v>
      </c>
      <c r="F270" t="b">
        <v>1</v>
      </c>
      <c r="G270">
        <v>1</v>
      </c>
      <c r="H270" t="s">
        <v>185</v>
      </c>
    </row>
    <row r="271" spans="1:8" x14ac:dyDescent="0.3">
      <c r="A271" t="s">
        <v>114</v>
      </c>
      <c r="B271" t="s">
        <v>38</v>
      </c>
      <c r="C271">
        <v>24</v>
      </c>
      <c r="D271">
        <v>17</v>
      </c>
      <c r="E271">
        <v>70.833333333333343</v>
      </c>
      <c r="F271" t="b">
        <v>1</v>
      </c>
      <c r="G271">
        <v>1</v>
      </c>
      <c r="H271" t="s">
        <v>185</v>
      </c>
    </row>
    <row r="272" spans="1:8" x14ac:dyDescent="0.3">
      <c r="A272" t="s">
        <v>114</v>
      </c>
      <c r="B272" t="s">
        <v>42</v>
      </c>
      <c r="C272">
        <v>27</v>
      </c>
      <c r="D272">
        <v>22</v>
      </c>
      <c r="E272">
        <v>81.481481481481481</v>
      </c>
      <c r="F272" t="b">
        <v>1</v>
      </c>
      <c r="G272">
        <v>0</v>
      </c>
      <c r="H272" t="s">
        <v>186</v>
      </c>
    </row>
    <row r="273" spans="1:8" x14ac:dyDescent="0.3">
      <c r="A273" t="s">
        <v>114</v>
      </c>
      <c r="B273" t="s">
        <v>45</v>
      </c>
      <c r="C273">
        <v>32</v>
      </c>
      <c r="D273">
        <v>19</v>
      </c>
      <c r="E273">
        <v>59.375</v>
      </c>
      <c r="F273" t="b">
        <v>1</v>
      </c>
      <c r="G273">
        <v>1</v>
      </c>
      <c r="H273" t="s">
        <v>185</v>
      </c>
    </row>
    <row r="274" spans="1:8" x14ac:dyDescent="0.3">
      <c r="A274" t="s">
        <v>115</v>
      </c>
      <c r="B274" t="s">
        <v>27</v>
      </c>
      <c r="C274">
        <v>28</v>
      </c>
      <c r="D274">
        <v>18</v>
      </c>
      <c r="E274">
        <v>64.285714285714292</v>
      </c>
      <c r="F274" t="b">
        <v>1</v>
      </c>
      <c r="G274">
        <v>1</v>
      </c>
      <c r="H274" t="s">
        <v>185</v>
      </c>
    </row>
    <row r="275" spans="1:8" x14ac:dyDescent="0.3">
      <c r="A275" t="s">
        <v>115</v>
      </c>
      <c r="B275" t="s">
        <v>34</v>
      </c>
      <c r="C275">
        <v>39</v>
      </c>
      <c r="D275">
        <v>17</v>
      </c>
      <c r="E275">
        <v>43.589743589743591</v>
      </c>
      <c r="F275" t="b">
        <v>1</v>
      </c>
      <c r="G275">
        <v>1</v>
      </c>
      <c r="H275" t="s">
        <v>185</v>
      </c>
    </row>
    <row r="276" spans="1:8" x14ac:dyDescent="0.3">
      <c r="A276" t="s">
        <v>115</v>
      </c>
      <c r="B276" t="s">
        <v>57</v>
      </c>
      <c r="C276">
        <v>32</v>
      </c>
      <c r="D276">
        <v>23</v>
      </c>
      <c r="E276">
        <v>71.875</v>
      </c>
      <c r="F276" t="b">
        <v>1</v>
      </c>
      <c r="G276">
        <v>1</v>
      </c>
      <c r="H276" t="s">
        <v>185</v>
      </c>
    </row>
    <row r="277" spans="1:8" x14ac:dyDescent="0.3">
      <c r="A277" t="s">
        <v>115</v>
      </c>
      <c r="B277" t="s">
        <v>42</v>
      </c>
      <c r="C277">
        <v>31</v>
      </c>
      <c r="D277">
        <v>23</v>
      </c>
      <c r="E277">
        <v>74.193548387096769</v>
      </c>
      <c r="F277" t="b">
        <v>1</v>
      </c>
      <c r="G277">
        <v>1</v>
      </c>
      <c r="H277" t="s">
        <v>185</v>
      </c>
    </row>
    <row r="278" spans="1:8" x14ac:dyDescent="0.3">
      <c r="A278" t="s">
        <v>116</v>
      </c>
      <c r="B278" t="s">
        <v>27</v>
      </c>
      <c r="C278">
        <v>30</v>
      </c>
      <c r="D278">
        <v>19</v>
      </c>
      <c r="E278">
        <v>63.333333333333329</v>
      </c>
      <c r="F278" t="b">
        <v>1</v>
      </c>
      <c r="G278">
        <v>1</v>
      </c>
      <c r="H278" t="s">
        <v>185</v>
      </c>
    </row>
    <row r="279" spans="1:8" x14ac:dyDescent="0.3">
      <c r="A279" t="s">
        <v>116</v>
      </c>
      <c r="B279" t="s">
        <v>51</v>
      </c>
      <c r="C279">
        <v>29</v>
      </c>
      <c r="D279">
        <v>19</v>
      </c>
      <c r="E279">
        <v>65.517241379310349</v>
      </c>
      <c r="F279" t="b">
        <v>1</v>
      </c>
      <c r="G279">
        <v>1</v>
      </c>
      <c r="H279" t="s">
        <v>185</v>
      </c>
    </row>
    <row r="280" spans="1:8" x14ac:dyDescent="0.3">
      <c r="A280" t="s">
        <v>116</v>
      </c>
      <c r="B280" t="s">
        <v>57</v>
      </c>
      <c r="C280">
        <v>32</v>
      </c>
      <c r="D280">
        <v>25</v>
      </c>
      <c r="E280">
        <v>78.125</v>
      </c>
      <c r="F280" t="b">
        <v>1</v>
      </c>
      <c r="G280">
        <v>0</v>
      </c>
      <c r="H280" t="s">
        <v>186</v>
      </c>
    </row>
    <row r="281" spans="1:8" x14ac:dyDescent="0.3">
      <c r="A281" t="s">
        <v>116</v>
      </c>
      <c r="B281" t="s">
        <v>45</v>
      </c>
      <c r="C281">
        <v>35</v>
      </c>
      <c r="D281">
        <v>21</v>
      </c>
      <c r="E281">
        <v>60</v>
      </c>
      <c r="F281" t="b">
        <v>1</v>
      </c>
      <c r="G281">
        <v>1</v>
      </c>
      <c r="H281" t="s">
        <v>185</v>
      </c>
    </row>
    <row r="282" spans="1:8" x14ac:dyDescent="0.3">
      <c r="A282" t="s">
        <v>117</v>
      </c>
      <c r="B282" t="s">
        <v>27</v>
      </c>
      <c r="C282">
        <v>25</v>
      </c>
      <c r="D282">
        <v>19</v>
      </c>
      <c r="E282">
        <v>76</v>
      </c>
      <c r="F282" t="b">
        <v>1</v>
      </c>
      <c r="G282">
        <v>0</v>
      </c>
      <c r="H282" t="s">
        <v>186</v>
      </c>
    </row>
    <row r="283" spans="1:8" x14ac:dyDescent="0.3">
      <c r="A283" t="s">
        <v>117</v>
      </c>
      <c r="B283" t="s">
        <v>34</v>
      </c>
      <c r="C283">
        <v>31</v>
      </c>
      <c r="D283">
        <v>20</v>
      </c>
      <c r="E283">
        <v>64.516129032258064</v>
      </c>
      <c r="F283" t="b">
        <v>1</v>
      </c>
      <c r="G283">
        <v>1</v>
      </c>
      <c r="H283" t="s">
        <v>185</v>
      </c>
    </row>
    <row r="284" spans="1:8" x14ac:dyDescent="0.3">
      <c r="A284" t="s">
        <v>117</v>
      </c>
      <c r="B284" t="s">
        <v>40</v>
      </c>
      <c r="C284">
        <v>37</v>
      </c>
      <c r="D284">
        <v>25</v>
      </c>
      <c r="E284">
        <v>67.567567567567565</v>
      </c>
      <c r="F284" t="b">
        <v>1</v>
      </c>
      <c r="G284">
        <v>1</v>
      </c>
      <c r="H284" t="s">
        <v>185</v>
      </c>
    </row>
    <row r="285" spans="1:8" x14ac:dyDescent="0.3">
      <c r="A285" t="s">
        <v>117</v>
      </c>
      <c r="B285" t="s">
        <v>42</v>
      </c>
      <c r="C285">
        <v>28</v>
      </c>
      <c r="D285">
        <v>18</v>
      </c>
      <c r="E285">
        <v>64.285714285714292</v>
      </c>
      <c r="F285" t="b">
        <v>1</v>
      </c>
      <c r="G285">
        <v>1</v>
      </c>
      <c r="H285" t="s">
        <v>185</v>
      </c>
    </row>
    <row r="286" spans="1:8" x14ac:dyDescent="0.3">
      <c r="A286" t="s">
        <v>118</v>
      </c>
      <c r="B286" t="s">
        <v>51</v>
      </c>
      <c r="C286">
        <v>28</v>
      </c>
      <c r="D286">
        <v>22</v>
      </c>
      <c r="E286">
        <v>78.571428571428569</v>
      </c>
      <c r="F286" t="b">
        <v>1</v>
      </c>
      <c r="G286">
        <v>0</v>
      </c>
      <c r="H286" t="s">
        <v>186</v>
      </c>
    </row>
    <row r="287" spans="1:8" x14ac:dyDescent="0.3">
      <c r="A287" t="s">
        <v>118</v>
      </c>
      <c r="B287" t="s">
        <v>34</v>
      </c>
      <c r="C287">
        <v>32</v>
      </c>
      <c r="D287">
        <v>20</v>
      </c>
      <c r="E287">
        <v>62.5</v>
      </c>
      <c r="F287" t="b">
        <v>1</v>
      </c>
      <c r="G287">
        <v>1</v>
      </c>
      <c r="H287" t="s">
        <v>185</v>
      </c>
    </row>
    <row r="288" spans="1:8" x14ac:dyDescent="0.3">
      <c r="A288" t="s">
        <v>118</v>
      </c>
      <c r="B288" t="s">
        <v>40</v>
      </c>
      <c r="C288">
        <v>33</v>
      </c>
      <c r="D288">
        <v>21</v>
      </c>
      <c r="E288">
        <v>63.636363636363633</v>
      </c>
      <c r="F288" t="b">
        <v>1</v>
      </c>
      <c r="G288">
        <v>1</v>
      </c>
      <c r="H288" t="s">
        <v>185</v>
      </c>
    </row>
    <row r="289" spans="1:8" x14ac:dyDescent="0.3">
      <c r="A289" t="s">
        <v>118</v>
      </c>
      <c r="B289" t="s">
        <v>42</v>
      </c>
      <c r="C289">
        <v>37</v>
      </c>
      <c r="D289">
        <v>19</v>
      </c>
      <c r="E289">
        <v>51.351351351351347</v>
      </c>
      <c r="F289" t="b">
        <v>1</v>
      </c>
      <c r="G289">
        <v>1</v>
      </c>
      <c r="H289" t="s">
        <v>185</v>
      </c>
    </row>
    <row r="290" spans="1:8" x14ac:dyDescent="0.3">
      <c r="A290" t="s">
        <v>119</v>
      </c>
      <c r="B290" t="s">
        <v>51</v>
      </c>
      <c r="C290">
        <v>38</v>
      </c>
      <c r="D290">
        <v>25</v>
      </c>
      <c r="E290">
        <v>65.789473684210535</v>
      </c>
      <c r="F290" t="b">
        <v>1</v>
      </c>
      <c r="G290">
        <v>1</v>
      </c>
      <c r="H290" t="s">
        <v>185</v>
      </c>
    </row>
    <row r="291" spans="1:8" x14ac:dyDescent="0.3">
      <c r="A291" t="s">
        <v>119</v>
      </c>
      <c r="B291" t="s">
        <v>34</v>
      </c>
      <c r="C291">
        <v>38</v>
      </c>
      <c r="D291">
        <v>25</v>
      </c>
      <c r="E291">
        <v>65.789473684210535</v>
      </c>
      <c r="F291" t="b">
        <v>1</v>
      </c>
      <c r="G291">
        <v>1</v>
      </c>
      <c r="H291" t="s">
        <v>185</v>
      </c>
    </row>
    <row r="292" spans="1:8" x14ac:dyDescent="0.3">
      <c r="A292" t="s">
        <v>119</v>
      </c>
      <c r="B292" t="s">
        <v>40</v>
      </c>
      <c r="C292">
        <v>28</v>
      </c>
      <c r="D292">
        <v>18</v>
      </c>
      <c r="E292">
        <v>64.285714285714292</v>
      </c>
      <c r="F292" t="b">
        <v>1</v>
      </c>
      <c r="G292">
        <v>1</v>
      </c>
      <c r="H292" t="s">
        <v>185</v>
      </c>
    </row>
    <row r="293" spans="1:8" x14ac:dyDescent="0.3">
      <c r="A293" t="s">
        <v>119</v>
      </c>
      <c r="B293" t="s">
        <v>57</v>
      </c>
      <c r="C293">
        <v>31</v>
      </c>
      <c r="D293">
        <v>27</v>
      </c>
      <c r="E293">
        <v>87.096774193548384</v>
      </c>
      <c r="F293" t="b">
        <v>1</v>
      </c>
      <c r="G293">
        <v>0</v>
      </c>
      <c r="H293" t="s">
        <v>186</v>
      </c>
    </row>
    <row r="294" spans="1:8" x14ac:dyDescent="0.3">
      <c r="A294" t="s">
        <v>119</v>
      </c>
      <c r="B294" t="s">
        <v>45</v>
      </c>
      <c r="C294">
        <v>30</v>
      </c>
      <c r="D294">
        <v>23</v>
      </c>
      <c r="E294">
        <v>76.666666666666671</v>
      </c>
      <c r="F294" t="b">
        <v>1</v>
      </c>
      <c r="G294">
        <v>0</v>
      </c>
      <c r="H294" t="s">
        <v>186</v>
      </c>
    </row>
    <row r="295" spans="1:8" x14ac:dyDescent="0.3">
      <c r="A295" t="s">
        <v>120</v>
      </c>
      <c r="B295" t="s">
        <v>27</v>
      </c>
      <c r="C295">
        <v>28</v>
      </c>
      <c r="D295">
        <v>20</v>
      </c>
      <c r="E295">
        <v>71.428571428571431</v>
      </c>
      <c r="F295" t="b">
        <v>1</v>
      </c>
      <c r="G295">
        <v>1</v>
      </c>
      <c r="H295" t="s">
        <v>185</v>
      </c>
    </row>
    <row r="296" spans="1:8" x14ac:dyDescent="0.3">
      <c r="A296" t="s">
        <v>120</v>
      </c>
      <c r="B296" t="s">
        <v>51</v>
      </c>
      <c r="C296">
        <v>40</v>
      </c>
      <c r="D296">
        <v>23</v>
      </c>
      <c r="E296">
        <v>57.499999999999993</v>
      </c>
      <c r="F296" t="b">
        <v>1</v>
      </c>
      <c r="G296">
        <v>1</v>
      </c>
      <c r="H296" t="s">
        <v>185</v>
      </c>
    </row>
    <row r="297" spans="1:8" x14ac:dyDescent="0.3">
      <c r="A297" t="s">
        <v>120</v>
      </c>
      <c r="B297" t="s">
        <v>34</v>
      </c>
      <c r="C297">
        <v>29</v>
      </c>
      <c r="D297">
        <v>20</v>
      </c>
      <c r="E297">
        <v>68.965517241379317</v>
      </c>
      <c r="F297" t="b">
        <v>1</v>
      </c>
      <c r="G297">
        <v>1</v>
      </c>
      <c r="H297" t="s">
        <v>185</v>
      </c>
    </row>
    <row r="298" spans="1:8" x14ac:dyDescent="0.3">
      <c r="A298" t="s">
        <v>120</v>
      </c>
      <c r="B298" t="s">
        <v>38</v>
      </c>
      <c r="C298">
        <v>26</v>
      </c>
      <c r="D298">
        <v>21</v>
      </c>
      <c r="E298">
        <v>80.769230769230774</v>
      </c>
      <c r="F298" t="b">
        <v>1</v>
      </c>
      <c r="G298">
        <v>0</v>
      </c>
      <c r="H298" t="s">
        <v>186</v>
      </c>
    </row>
    <row r="299" spans="1:8" x14ac:dyDescent="0.3">
      <c r="A299" t="s">
        <v>121</v>
      </c>
      <c r="B299" t="s">
        <v>51</v>
      </c>
      <c r="C299">
        <v>30</v>
      </c>
      <c r="D299">
        <v>19</v>
      </c>
      <c r="E299">
        <v>63.333333333333329</v>
      </c>
      <c r="F299" t="b">
        <v>1</v>
      </c>
      <c r="G299">
        <v>1</v>
      </c>
      <c r="H299" t="s">
        <v>185</v>
      </c>
    </row>
    <row r="300" spans="1:8" x14ac:dyDescent="0.3">
      <c r="A300" t="s">
        <v>121</v>
      </c>
      <c r="B300" t="s">
        <v>34</v>
      </c>
      <c r="C300">
        <v>32</v>
      </c>
      <c r="D300">
        <v>23</v>
      </c>
      <c r="E300">
        <v>71.875</v>
      </c>
      <c r="F300" t="b">
        <v>1</v>
      </c>
      <c r="G300">
        <v>1</v>
      </c>
      <c r="H300" t="s">
        <v>185</v>
      </c>
    </row>
    <row r="301" spans="1:8" x14ac:dyDescent="0.3">
      <c r="A301" t="s">
        <v>121</v>
      </c>
      <c r="B301" t="s">
        <v>38</v>
      </c>
      <c r="C301">
        <v>31</v>
      </c>
      <c r="D301">
        <v>22</v>
      </c>
      <c r="E301">
        <v>70.967741935483872</v>
      </c>
      <c r="F301" t="b">
        <v>1</v>
      </c>
      <c r="G301">
        <v>1</v>
      </c>
      <c r="H301" t="s">
        <v>185</v>
      </c>
    </row>
    <row r="302" spans="1:8" x14ac:dyDescent="0.3">
      <c r="A302" t="s">
        <v>121</v>
      </c>
      <c r="B302" t="s">
        <v>42</v>
      </c>
      <c r="C302">
        <v>40</v>
      </c>
      <c r="D302">
        <v>18</v>
      </c>
      <c r="E302">
        <v>45</v>
      </c>
      <c r="F302" t="b">
        <v>1</v>
      </c>
      <c r="G302">
        <v>1</v>
      </c>
      <c r="H302" t="s">
        <v>185</v>
      </c>
    </row>
    <row r="303" spans="1:8" x14ac:dyDescent="0.3">
      <c r="A303" t="s">
        <v>122</v>
      </c>
      <c r="B303" t="s">
        <v>27</v>
      </c>
      <c r="C303">
        <v>39</v>
      </c>
      <c r="D303">
        <v>23</v>
      </c>
      <c r="E303">
        <v>58.974358974358978</v>
      </c>
      <c r="F303" t="b">
        <v>1</v>
      </c>
      <c r="G303">
        <v>1</v>
      </c>
      <c r="H303" t="s">
        <v>185</v>
      </c>
    </row>
    <row r="304" spans="1:8" x14ac:dyDescent="0.3">
      <c r="A304" t="s">
        <v>122</v>
      </c>
      <c r="B304" t="s">
        <v>51</v>
      </c>
      <c r="C304">
        <v>25</v>
      </c>
      <c r="D304">
        <v>13</v>
      </c>
      <c r="E304">
        <v>52</v>
      </c>
      <c r="F304" t="b">
        <v>1</v>
      </c>
      <c r="G304">
        <v>1</v>
      </c>
      <c r="H304" t="s">
        <v>185</v>
      </c>
    </row>
    <row r="305" spans="1:8" x14ac:dyDescent="0.3">
      <c r="A305" t="s">
        <v>122</v>
      </c>
      <c r="B305" t="s">
        <v>38</v>
      </c>
      <c r="C305">
        <v>24</v>
      </c>
      <c r="D305">
        <v>10</v>
      </c>
      <c r="E305">
        <v>41.666666666666671</v>
      </c>
      <c r="F305" t="b">
        <v>1</v>
      </c>
      <c r="G305">
        <v>1</v>
      </c>
      <c r="H305" t="s">
        <v>185</v>
      </c>
    </row>
    <row r="306" spans="1:8" x14ac:dyDescent="0.3">
      <c r="A306" t="s">
        <v>122</v>
      </c>
      <c r="B306" t="s">
        <v>40</v>
      </c>
      <c r="C306">
        <v>39</v>
      </c>
      <c r="D306">
        <v>17</v>
      </c>
      <c r="E306">
        <v>43.589743589743591</v>
      </c>
      <c r="F306" t="b">
        <v>1</v>
      </c>
      <c r="G306">
        <v>1</v>
      </c>
      <c r="H306" t="s">
        <v>185</v>
      </c>
    </row>
    <row r="307" spans="1:8" x14ac:dyDescent="0.3">
      <c r="A307" t="s">
        <v>122</v>
      </c>
      <c r="B307" t="s">
        <v>42</v>
      </c>
      <c r="C307">
        <v>36</v>
      </c>
      <c r="D307">
        <v>23</v>
      </c>
      <c r="E307">
        <v>63.888888888888893</v>
      </c>
      <c r="F307" t="b">
        <v>1</v>
      </c>
      <c r="G307">
        <v>1</v>
      </c>
      <c r="H307" t="s">
        <v>185</v>
      </c>
    </row>
    <row r="308" spans="1:8" x14ac:dyDescent="0.3">
      <c r="A308" t="s">
        <v>123</v>
      </c>
      <c r="B308" t="s">
        <v>27</v>
      </c>
      <c r="C308">
        <v>37</v>
      </c>
      <c r="D308">
        <v>21</v>
      </c>
      <c r="E308">
        <v>56.756756756756758</v>
      </c>
      <c r="F308" t="b">
        <v>1</v>
      </c>
      <c r="G308">
        <v>1</v>
      </c>
      <c r="H308" t="s">
        <v>185</v>
      </c>
    </row>
    <row r="309" spans="1:8" x14ac:dyDescent="0.3">
      <c r="A309" t="s">
        <v>123</v>
      </c>
      <c r="B309" t="s">
        <v>34</v>
      </c>
      <c r="C309">
        <v>28</v>
      </c>
      <c r="D309">
        <v>24</v>
      </c>
      <c r="E309">
        <v>85.714285714285708</v>
      </c>
      <c r="F309" t="b">
        <v>1</v>
      </c>
      <c r="G309">
        <v>0</v>
      </c>
      <c r="H309" t="s">
        <v>186</v>
      </c>
    </row>
    <row r="310" spans="1:8" x14ac:dyDescent="0.3">
      <c r="A310" t="s">
        <v>123</v>
      </c>
      <c r="B310" t="s">
        <v>38</v>
      </c>
      <c r="C310">
        <v>29</v>
      </c>
      <c r="D310">
        <v>17</v>
      </c>
      <c r="E310">
        <v>58.620689655172413</v>
      </c>
      <c r="F310" t="b">
        <v>1</v>
      </c>
      <c r="G310">
        <v>1</v>
      </c>
      <c r="H310" t="s">
        <v>185</v>
      </c>
    </row>
    <row r="311" spans="1:8" x14ac:dyDescent="0.3">
      <c r="A311" t="s">
        <v>123</v>
      </c>
      <c r="B311" t="s">
        <v>57</v>
      </c>
      <c r="C311">
        <v>27</v>
      </c>
      <c r="D311">
        <v>18</v>
      </c>
      <c r="E311">
        <v>66.666666666666657</v>
      </c>
      <c r="F311" t="b">
        <v>1</v>
      </c>
      <c r="G311">
        <v>1</v>
      </c>
      <c r="H311" t="s">
        <v>185</v>
      </c>
    </row>
    <row r="312" spans="1:8" x14ac:dyDescent="0.3">
      <c r="A312" t="s">
        <v>123</v>
      </c>
      <c r="B312" t="s">
        <v>42</v>
      </c>
      <c r="C312">
        <v>34</v>
      </c>
      <c r="D312">
        <v>30</v>
      </c>
      <c r="E312">
        <v>88.235294117647058</v>
      </c>
      <c r="F312" t="b">
        <v>1</v>
      </c>
      <c r="G312">
        <v>0</v>
      </c>
      <c r="H312" t="s">
        <v>186</v>
      </c>
    </row>
    <row r="313" spans="1:8" x14ac:dyDescent="0.3">
      <c r="A313" t="s">
        <v>123</v>
      </c>
      <c r="B313" t="s">
        <v>45</v>
      </c>
      <c r="C313">
        <v>31</v>
      </c>
      <c r="D313">
        <v>26</v>
      </c>
      <c r="E313">
        <v>83.870967741935488</v>
      </c>
      <c r="F313" t="b">
        <v>1</v>
      </c>
      <c r="G313">
        <v>0</v>
      </c>
      <c r="H313" t="s">
        <v>186</v>
      </c>
    </row>
    <row r="314" spans="1:8" x14ac:dyDescent="0.3">
      <c r="A314" t="s">
        <v>124</v>
      </c>
      <c r="B314" t="s">
        <v>27</v>
      </c>
      <c r="C314">
        <v>35</v>
      </c>
      <c r="D314">
        <v>18</v>
      </c>
      <c r="E314">
        <v>51.428571428571423</v>
      </c>
      <c r="F314" t="b">
        <v>1</v>
      </c>
      <c r="G314">
        <v>1</v>
      </c>
      <c r="H314" t="s">
        <v>185</v>
      </c>
    </row>
    <row r="315" spans="1:8" x14ac:dyDescent="0.3">
      <c r="A315" t="s">
        <v>124</v>
      </c>
      <c r="B315" t="s">
        <v>51</v>
      </c>
      <c r="C315">
        <v>34</v>
      </c>
      <c r="D315">
        <v>18</v>
      </c>
      <c r="E315">
        <v>52.941176470588239</v>
      </c>
      <c r="F315" t="b">
        <v>1</v>
      </c>
      <c r="G315">
        <v>1</v>
      </c>
      <c r="H315" t="s">
        <v>185</v>
      </c>
    </row>
    <row r="316" spans="1:8" x14ac:dyDescent="0.3">
      <c r="A316" t="s">
        <v>124</v>
      </c>
      <c r="B316" t="s">
        <v>34</v>
      </c>
      <c r="C316">
        <v>40</v>
      </c>
      <c r="D316">
        <v>18</v>
      </c>
      <c r="E316">
        <v>45</v>
      </c>
      <c r="F316" t="b">
        <v>1</v>
      </c>
      <c r="G316">
        <v>1</v>
      </c>
      <c r="H316" t="s">
        <v>185</v>
      </c>
    </row>
    <row r="317" spans="1:8" x14ac:dyDescent="0.3">
      <c r="A317" t="s">
        <v>124</v>
      </c>
      <c r="B317" t="s">
        <v>40</v>
      </c>
      <c r="C317">
        <v>39</v>
      </c>
      <c r="D317">
        <v>18</v>
      </c>
      <c r="E317">
        <v>46.153846153846153</v>
      </c>
      <c r="F317" t="b">
        <v>1</v>
      </c>
      <c r="G317">
        <v>1</v>
      </c>
      <c r="H317" t="s">
        <v>185</v>
      </c>
    </row>
    <row r="318" spans="1:8" x14ac:dyDescent="0.3">
      <c r="A318" t="s">
        <v>125</v>
      </c>
      <c r="B318" t="s">
        <v>27</v>
      </c>
      <c r="C318">
        <v>28</v>
      </c>
      <c r="D318">
        <v>13</v>
      </c>
      <c r="E318">
        <v>46.428571428571431</v>
      </c>
      <c r="F318" t="b">
        <v>1</v>
      </c>
      <c r="G318">
        <v>1</v>
      </c>
      <c r="H318" t="s">
        <v>185</v>
      </c>
    </row>
    <row r="319" spans="1:8" x14ac:dyDescent="0.3">
      <c r="A319" t="s">
        <v>125</v>
      </c>
      <c r="B319" t="s">
        <v>51</v>
      </c>
      <c r="C319">
        <v>29</v>
      </c>
      <c r="D319">
        <v>19</v>
      </c>
      <c r="E319">
        <v>65.517241379310349</v>
      </c>
      <c r="F319" t="b">
        <v>1</v>
      </c>
      <c r="G319">
        <v>1</v>
      </c>
      <c r="H319" t="s">
        <v>185</v>
      </c>
    </row>
    <row r="320" spans="1:8" x14ac:dyDescent="0.3">
      <c r="A320" t="s">
        <v>125</v>
      </c>
      <c r="B320" t="s">
        <v>34</v>
      </c>
      <c r="C320">
        <v>28</v>
      </c>
      <c r="D320">
        <v>19</v>
      </c>
      <c r="E320">
        <v>67.857142857142861</v>
      </c>
      <c r="F320" t="b">
        <v>1</v>
      </c>
      <c r="G320">
        <v>1</v>
      </c>
      <c r="H320" t="s">
        <v>185</v>
      </c>
    </row>
    <row r="321" spans="1:8" x14ac:dyDescent="0.3">
      <c r="A321" t="s">
        <v>125</v>
      </c>
      <c r="B321" t="s">
        <v>38</v>
      </c>
      <c r="C321">
        <v>28</v>
      </c>
      <c r="D321">
        <v>15</v>
      </c>
      <c r="E321">
        <v>53.571428571428569</v>
      </c>
      <c r="F321" t="b">
        <v>1</v>
      </c>
      <c r="G321">
        <v>1</v>
      </c>
      <c r="H321" t="s">
        <v>185</v>
      </c>
    </row>
    <row r="322" spans="1:8" x14ac:dyDescent="0.3">
      <c r="A322" t="s">
        <v>125</v>
      </c>
      <c r="B322" t="s">
        <v>57</v>
      </c>
      <c r="C322">
        <v>26</v>
      </c>
      <c r="D322">
        <v>17</v>
      </c>
      <c r="E322">
        <v>65.384615384615387</v>
      </c>
      <c r="F322" t="b">
        <v>1</v>
      </c>
      <c r="G322">
        <v>1</v>
      </c>
      <c r="H322" t="s">
        <v>185</v>
      </c>
    </row>
    <row r="323" spans="1:8" x14ac:dyDescent="0.3">
      <c r="A323" t="s">
        <v>125</v>
      </c>
      <c r="B323" t="s">
        <v>42</v>
      </c>
      <c r="C323">
        <v>30</v>
      </c>
      <c r="D323">
        <v>16</v>
      </c>
      <c r="E323">
        <v>53.333333333333343</v>
      </c>
      <c r="F323" t="b">
        <v>1</v>
      </c>
      <c r="G323">
        <v>1</v>
      </c>
      <c r="H323" t="s">
        <v>185</v>
      </c>
    </row>
    <row r="324" spans="1:8" x14ac:dyDescent="0.3">
      <c r="A324" t="s">
        <v>126</v>
      </c>
      <c r="B324" t="s">
        <v>27</v>
      </c>
      <c r="C324">
        <v>37</v>
      </c>
      <c r="D324">
        <v>29</v>
      </c>
      <c r="E324">
        <v>78.378378378378372</v>
      </c>
      <c r="F324" t="b">
        <v>1</v>
      </c>
      <c r="G324">
        <v>0</v>
      </c>
      <c r="H324" t="s">
        <v>186</v>
      </c>
    </row>
    <row r="325" spans="1:8" x14ac:dyDescent="0.3">
      <c r="A325" t="s">
        <v>126</v>
      </c>
      <c r="B325" t="s">
        <v>51</v>
      </c>
      <c r="C325">
        <v>33</v>
      </c>
      <c r="D325">
        <v>20</v>
      </c>
      <c r="E325">
        <v>60.606060606060609</v>
      </c>
      <c r="F325" t="b">
        <v>1</v>
      </c>
      <c r="G325">
        <v>1</v>
      </c>
      <c r="H325" t="s">
        <v>185</v>
      </c>
    </row>
    <row r="326" spans="1:8" x14ac:dyDescent="0.3">
      <c r="A326" t="s">
        <v>126</v>
      </c>
      <c r="B326" t="s">
        <v>38</v>
      </c>
      <c r="C326">
        <v>31</v>
      </c>
      <c r="D326">
        <v>17</v>
      </c>
      <c r="E326">
        <v>54.838709677419352</v>
      </c>
      <c r="F326" t="b">
        <v>1</v>
      </c>
      <c r="G326">
        <v>1</v>
      </c>
      <c r="H326" t="s">
        <v>185</v>
      </c>
    </row>
    <row r="327" spans="1:8" x14ac:dyDescent="0.3">
      <c r="A327" t="s">
        <v>126</v>
      </c>
      <c r="B327" t="s">
        <v>57</v>
      </c>
      <c r="C327">
        <v>31</v>
      </c>
      <c r="D327">
        <v>11</v>
      </c>
      <c r="E327">
        <v>35.483870967741943</v>
      </c>
      <c r="F327" t="b">
        <v>1</v>
      </c>
      <c r="G327">
        <v>1</v>
      </c>
      <c r="H327" t="s">
        <v>185</v>
      </c>
    </row>
    <row r="328" spans="1:8" x14ac:dyDescent="0.3">
      <c r="A328" t="s">
        <v>127</v>
      </c>
      <c r="B328" t="s">
        <v>27</v>
      </c>
      <c r="C328">
        <v>30</v>
      </c>
      <c r="D328">
        <v>17</v>
      </c>
      <c r="E328">
        <v>56.666666666666657</v>
      </c>
      <c r="F328" t="b">
        <v>1</v>
      </c>
      <c r="G328">
        <v>1</v>
      </c>
      <c r="H328" t="s">
        <v>185</v>
      </c>
    </row>
    <row r="329" spans="1:8" x14ac:dyDescent="0.3">
      <c r="A329" t="s">
        <v>127</v>
      </c>
      <c r="B329" t="s">
        <v>34</v>
      </c>
      <c r="C329">
        <v>25</v>
      </c>
      <c r="D329">
        <v>20</v>
      </c>
      <c r="E329">
        <v>80</v>
      </c>
      <c r="F329" t="b">
        <v>1</v>
      </c>
      <c r="G329">
        <v>0</v>
      </c>
      <c r="H329" t="s">
        <v>186</v>
      </c>
    </row>
    <row r="330" spans="1:8" x14ac:dyDescent="0.3">
      <c r="A330" t="s">
        <v>127</v>
      </c>
      <c r="B330" t="s">
        <v>57</v>
      </c>
      <c r="C330">
        <v>29</v>
      </c>
      <c r="D330">
        <v>17</v>
      </c>
      <c r="E330">
        <v>58.620689655172413</v>
      </c>
      <c r="F330" t="b">
        <v>1</v>
      </c>
      <c r="G330">
        <v>1</v>
      </c>
      <c r="H330" t="s">
        <v>185</v>
      </c>
    </row>
    <row r="331" spans="1:8" x14ac:dyDescent="0.3">
      <c r="A331" t="s">
        <v>127</v>
      </c>
      <c r="B331" t="s">
        <v>42</v>
      </c>
      <c r="C331">
        <v>27</v>
      </c>
      <c r="D331">
        <v>23</v>
      </c>
      <c r="E331">
        <v>85.18518518518519</v>
      </c>
      <c r="F331" t="b">
        <v>1</v>
      </c>
      <c r="G331">
        <v>0</v>
      </c>
      <c r="H331" t="s">
        <v>186</v>
      </c>
    </row>
    <row r="332" spans="1:8" x14ac:dyDescent="0.3">
      <c r="A332" t="s">
        <v>128</v>
      </c>
      <c r="B332" t="s">
        <v>27</v>
      </c>
      <c r="C332">
        <v>25</v>
      </c>
      <c r="D332">
        <v>20</v>
      </c>
      <c r="E332">
        <v>80</v>
      </c>
      <c r="F332" t="b">
        <v>1</v>
      </c>
      <c r="G332">
        <v>0</v>
      </c>
      <c r="H332" t="s">
        <v>186</v>
      </c>
    </row>
    <row r="333" spans="1:8" x14ac:dyDescent="0.3">
      <c r="A333" t="s">
        <v>128</v>
      </c>
      <c r="B333" t="s">
        <v>51</v>
      </c>
      <c r="C333">
        <v>40</v>
      </c>
      <c r="D333">
        <v>15</v>
      </c>
      <c r="E333">
        <v>37.5</v>
      </c>
      <c r="F333" t="b">
        <v>1</v>
      </c>
      <c r="G333">
        <v>1</v>
      </c>
      <c r="H333" t="s">
        <v>185</v>
      </c>
    </row>
    <row r="334" spans="1:8" x14ac:dyDescent="0.3">
      <c r="A334" t="s">
        <v>128</v>
      </c>
      <c r="B334" t="s">
        <v>34</v>
      </c>
      <c r="C334">
        <v>26</v>
      </c>
      <c r="D334">
        <v>13</v>
      </c>
      <c r="E334">
        <v>50</v>
      </c>
      <c r="F334" t="b">
        <v>1</v>
      </c>
      <c r="G334">
        <v>1</v>
      </c>
      <c r="H334" t="s">
        <v>185</v>
      </c>
    </row>
    <row r="335" spans="1:8" x14ac:dyDescent="0.3">
      <c r="A335" t="s">
        <v>128</v>
      </c>
      <c r="B335" t="s">
        <v>42</v>
      </c>
      <c r="C335">
        <v>25</v>
      </c>
      <c r="D335">
        <v>15</v>
      </c>
      <c r="E335">
        <v>60</v>
      </c>
      <c r="F335" t="b">
        <v>1</v>
      </c>
      <c r="G335">
        <v>1</v>
      </c>
      <c r="H335" t="s">
        <v>185</v>
      </c>
    </row>
    <row r="336" spans="1:8" x14ac:dyDescent="0.3">
      <c r="A336" t="s">
        <v>128</v>
      </c>
      <c r="B336" t="s">
        <v>45</v>
      </c>
      <c r="C336">
        <v>25</v>
      </c>
      <c r="D336">
        <v>10</v>
      </c>
      <c r="E336">
        <v>40</v>
      </c>
      <c r="F336" t="b">
        <v>1</v>
      </c>
      <c r="G336">
        <v>1</v>
      </c>
      <c r="H336" t="s">
        <v>185</v>
      </c>
    </row>
    <row r="337" spans="1:8" x14ac:dyDescent="0.3">
      <c r="A337" t="s">
        <v>129</v>
      </c>
      <c r="B337" t="s">
        <v>27</v>
      </c>
      <c r="C337">
        <v>34</v>
      </c>
      <c r="D337">
        <v>18</v>
      </c>
      <c r="E337">
        <v>52.941176470588239</v>
      </c>
      <c r="F337" t="b">
        <v>1</v>
      </c>
      <c r="G337">
        <v>1</v>
      </c>
      <c r="H337" t="s">
        <v>185</v>
      </c>
    </row>
    <row r="338" spans="1:8" x14ac:dyDescent="0.3">
      <c r="A338" t="s">
        <v>129</v>
      </c>
      <c r="B338" t="s">
        <v>51</v>
      </c>
      <c r="C338">
        <v>24</v>
      </c>
      <c r="D338">
        <v>17</v>
      </c>
      <c r="E338">
        <v>70.833333333333343</v>
      </c>
      <c r="F338" t="b">
        <v>1</v>
      </c>
      <c r="G338">
        <v>1</v>
      </c>
      <c r="H338" t="s">
        <v>185</v>
      </c>
    </row>
    <row r="339" spans="1:8" x14ac:dyDescent="0.3">
      <c r="A339" t="s">
        <v>129</v>
      </c>
      <c r="B339" t="s">
        <v>38</v>
      </c>
      <c r="C339">
        <v>33</v>
      </c>
      <c r="D339">
        <v>16</v>
      </c>
      <c r="E339">
        <v>48.484848484848477</v>
      </c>
      <c r="F339" t="b">
        <v>1</v>
      </c>
      <c r="G339">
        <v>1</v>
      </c>
      <c r="H339" t="s">
        <v>185</v>
      </c>
    </row>
    <row r="340" spans="1:8" x14ac:dyDescent="0.3">
      <c r="A340" t="s">
        <v>129</v>
      </c>
      <c r="B340" t="s">
        <v>40</v>
      </c>
      <c r="C340">
        <v>32</v>
      </c>
      <c r="D340">
        <v>25</v>
      </c>
      <c r="E340">
        <v>78.125</v>
      </c>
      <c r="F340" t="b">
        <v>1</v>
      </c>
      <c r="G340">
        <v>0</v>
      </c>
      <c r="H340" t="s">
        <v>186</v>
      </c>
    </row>
    <row r="341" spans="1:8" x14ac:dyDescent="0.3">
      <c r="A341" t="s">
        <v>129</v>
      </c>
      <c r="B341" t="s">
        <v>57</v>
      </c>
      <c r="C341">
        <v>37</v>
      </c>
      <c r="D341">
        <v>21</v>
      </c>
      <c r="E341">
        <v>56.756756756756758</v>
      </c>
      <c r="F341" t="b">
        <v>1</v>
      </c>
      <c r="G341">
        <v>1</v>
      </c>
      <c r="H341" t="s">
        <v>185</v>
      </c>
    </row>
    <row r="342" spans="1:8" x14ac:dyDescent="0.3">
      <c r="A342" t="s">
        <v>130</v>
      </c>
      <c r="B342" t="s">
        <v>27</v>
      </c>
      <c r="C342">
        <v>39</v>
      </c>
      <c r="D342">
        <v>24</v>
      </c>
      <c r="E342">
        <v>61.53846153846154</v>
      </c>
      <c r="F342" t="b">
        <v>1</v>
      </c>
      <c r="G342">
        <v>1</v>
      </c>
      <c r="H342" t="s">
        <v>185</v>
      </c>
    </row>
    <row r="343" spans="1:8" x14ac:dyDescent="0.3">
      <c r="A343" t="s">
        <v>130</v>
      </c>
      <c r="B343" t="s">
        <v>34</v>
      </c>
      <c r="C343">
        <v>26</v>
      </c>
      <c r="D343">
        <v>20</v>
      </c>
      <c r="E343">
        <v>76.923076923076934</v>
      </c>
      <c r="F343" t="b">
        <v>1</v>
      </c>
      <c r="G343">
        <v>0</v>
      </c>
      <c r="H343" t="s">
        <v>186</v>
      </c>
    </row>
    <row r="344" spans="1:8" x14ac:dyDescent="0.3">
      <c r="A344" t="s">
        <v>130</v>
      </c>
      <c r="B344" t="s">
        <v>40</v>
      </c>
      <c r="C344">
        <v>24</v>
      </c>
      <c r="D344">
        <v>12</v>
      </c>
      <c r="E344">
        <v>50</v>
      </c>
      <c r="F344" t="b">
        <v>1</v>
      </c>
      <c r="G344">
        <v>1</v>
      </c>
      <c r="H344" t="s">
        <v>185</v>
      </c>
    </row>
    <row r="345" spans="1:8" x14ac:dyDescent="0.3">
      <c r="A345" t="s">
        <v>130</v>
      </c>
      <c r="B345" t="s">
        <v>42</v>
      </c>
      <c r="C345">
        <v>26</v>
      </c>
      <c r="D345">
        <v>17</v>
      </c>
      <c r="E345">
        <v>65.384615384615387</v>
      </c>
      <c r="F345" t="b">
        <v>1</v>
      </c>
      <c r="G345">
        <v>1</v>
      </c>
      <c r="H345" t="s">
        <v>185</v>
      </c>
    </row>
    <row r="346" spans="1:8" x14ac:dyDescent="0.3">
      <c r="A346" t="s">
        <v>130</v>
      </c>
      <c r="B346" t="s">
        <v>45</v>
      </c>
      <c r="C346">
        <v>34</v>
      </c>
      <c r="D346">
        <v>27</v>
      </c>
      <c r="E346">
        <v>79.411764705882348</v>
      </c>
      <c r="F346" t="b">
        <v>1</v>
      </c>
      <c r="G346">
        <v>0</v>
      </c>
      <c r="H346" t="s">
        <v>186</v>
      </c>
    </row>
    <row r="347" spans="1:8" x14ac:dyDescent="0.3">
      <c r="A347" t="s">
        <v>131</v>
      </c>
      <c r="B347" t="s">
        <v>51</v>
      </c>
      <c r="C347">
        <v>39</v>
      </c>
      <c r="D347">
        <v>18</v>
      </c>
      <c r="E347">
        <v>46.153846153846153</v>
      </c>
      <c r="F347" t="b">
        <v>1</v>
      </c>
      <c r="G347">
        <v>1</v>
      </c>
      <c r="H347" t="s">
        <v>185</v>
      </c>
    </row>
    <row r="348" spans="1:8" x14ac:dyDescent="0.3">
      <c r="A348" t="s">
        <v>131</v>
      </c>
      <c r="B348" t="s">
        <v>38</v>
      </c>
      <c r="C348">
        <v>34</v>
      </c>
      <c r="D348">
        <v>20</v>
      </c>
      <c r="E348">
        <v>58.82352941176471</v>
      </c>
      <c r="F348" t="b">
        <v>1</v>
      </c>
      <c r="G348">
        <v>1</v>
      </c>
      <c r="H348" t="s">
        <v>185</v>
      </c>
    </row>
    <row r="349" spans="1:8" x14ac:dyDescent="0.3">
      <c r="A349" t="s">
        <v>131</v>
      </c>
      <c r="B349" t="s">
        <v>40</v>
      </c>
      <c r="C349">
        <v>32</v>
      </c>
      <c r="D349">
        <v>21</v>
      </c>
      <c r="E349">
        <v>65.625</v>
      </c>
      <c r="F349" t="b">
        <v>1</v>
      </c>
      <c r="G349">
        <v>1</v>
      </c>
      <c r="H349" t="s">
        <v>185</v>
      </c>
    </row>
    <row r="350" spans="1:8" x14ac:dyDescent="0.3">
      <c r="A350" t="s">
        <v>131</v>
      </c>
      <c r="B350" t="s">
        <v>42</v>
      </c>
      <c r="C350">
        <v>32</v>
      </c>
      <c r="D350">
        <v>18</v>
      </c>
      <c r="E350">
        <v>56.25</v>
      </c>
      <c r="F350" t="b">
        <v>1</v>
      </c>
      <c r="G350">
        <v>1</v>
      </c>
      <c r="H350" t="s">
        <v>185</v>
      </c>
    </row>
    <row r="351" spans="1:8" x14ac:dyDescent="0.3">
      <c r="A351" t="s">
        <v>131</v>
      </c>
      <c r="B351" t="s">
        <v>45</v>
      </c>
      <c r="C351">
        <v>24</v>
      </c>
      <c r="D351">
        <v>13</v>
      </c>
      <c r="E351">
        <v>54.166666666666657</v>
      </c>
      <c r="F351" t="b">
        <v>1</v>
      </c>
      <c r="G351">
        <v>1</v>
      </c>
      <c r="H351" t="s">
        <v>185</v>
      </c>
    </row>
    <row r="352" spans="1:8" x14ac:dyDescent="0.3">
      <c r="A352" t="s">
        <v>132</v>
      </c>
      <c r="B352" t="s">
        <v>27</v>
      </c>
      <c r="C352">
        <v>35</v>
      </c>
      <c r="D352">
        <v>16</v>
      </c>
      <c r="E352">
        <v>45.714285714285722</v>
      </c>
      <c r="F352" t="b">
        <v>1</v>
      </c>
      <c r="G352">
        <v>1</v>
      </c>
      <c r="H352" t="s">
        <v>185</v>
      </c>
    </row>
    <row r="353" spans="1:8" x14ac:dyDescent="0.3">
      <c r="A353" t="s">
        <v>132</v>
      </c>
      <c r="B353" t="s">
        <v>51</v>
      </c>
      <c r="C353">
        <v>26</v>
      </c>
      <c r="D353">
        <v>9</v>
      </c>
      <c r="E353">
        <v>34.615384615384613</v>
      </c>
      <c r="F353" t="b">
        <v>1</v>
      </c>
      <c r="G353">
        <v>1</v>
      </c>
      <c r="H353" t="s">
        <v>185</v>
      </c>
    </row>
    <row r="354" spans="1:8" x14ac:dyDescent="0.3">
      <c r="A354" t="s">
        <v>132</v>
      </c>
      <c r="B354" t="s">
        <v>38</v>
      </c>
      <c r="C354">
        <v>36</v>
      </c>
      <c r="D354">
        <v>14</v>
      </c>
      <c r="E354">
        <v>38.888888888888893</v>
      </c>
      <c r="F354" t="b">
        <v>1</v>
      </c>
      <c r="G354">
        <v>1</v>
      </c>
      <c r="H354" t="s">
        <v>185</v>
      </c>
    </row>
    <row r="355" spans="1:8" x14ac:dyDescent="0.3">
      <c r="A355" t="s">
        <v>132</v>
      </c>
      <c r="B355" t="s">
        <v>40</v>
      </c>
      <c r="C355">
        <v>35</v>
      </c>
      <c r="D355">
        <v>14</v>
      </c>
      <c r="E355">
        <v>40</v>
      </c>
      <c r="F355" t="b">
        <v>1</v>
      </c>
      <c r="G355">
        <v>1</v>
      </c>
      <c r="H355" t="s">
        <v>185</v>
      </c>
    </row>
    <row r="356" spans="1:8" x14ac:dyDescent="0.3">
      <c r="A356" t="s">
        <v>132</v>
      </c>
      <c r="B356" t="s">
        <v>42</v>
      </c>
      <c r="C356">
        <v>25</v>
      </c>
      <c r="D356">
        <v>10</v>
      </c>
      <c r="E356">
        <v>40</v>
      </c>
      <c r="F356" t="b">
        <v>1</v>
      </c>
      <c r="G356">
        <v>1</v>
      </c>
      <c r="H356" t="s">
        <v>185</v>
      </c>
    </row>
    <row r="357" spans="1:8" x14ac:dyDescent="0.3">
      <c r="A357" t="s">
        <v>132</v>
      </c>
      <c r="B357" t="s">
        <v>45</v>
      </c>
      <c r="C357">
        <v>25</v>
      </c>
      <c r="D357">
        <v>15</v>
      </c>
      <c r="E357">
        <v>60</v>
      </c>
      <c r="F357" t="b">
        <v>1</v>
      </c>
      <c r="G357">
        <v>1</v>
      </c>
      <c r="H357" t="s">
        <v>185</v>
      </c>
    </row>
    <row r="358" spans="1:8" x14ac:dyDescent="0.3">
      <c r="A358" t="s">
        <v>133</v>
      </c>
      <c r="B358" t="s">
        <v>34</v>
      </c>
      <c r="C358">
        <v>26</v>
      </c>
      <c r="D358">
        <v>15</v>
      </c>
      <c r="E358">
        <v>57.692307692307693</v>
      </c>
      <c r="F358" t="b">
        <v>1</v>
      </c>
      <c r="G358">
        <v>1</v>
      </c>
      <c r="H358" t="s">
        <v>185</v>
      </c>
    </row>
    <row r="359" spans="1:8" x14ac:dyDescent="0.3">
      <c r="A359" t="s">
        <v>133</v>
      </c>
      <c r="B359" t="s">
        <v>38</v>
      </c>
      <c r="C359">
        <v>38</v>
      </c>
      <c r="D359">
        <v>15</v>
      </c>
      <c r="E359">
        <v>39.473684210526322</v>
      </c>
      <c r="F359" t="b">
        <v>1</v>
      </c>
      <c r="G359">
        <v>1</v>
      </c>
      <c r="H359" t="s">
        <v>185</v>
      </c>
    </row>
    <row r="360" spans="1:8" x14ac:dyDescent="0.3">
      <c r="A360" t="s">
        <v>133</v>
      </c>
      <c r="B360" t="s">
        <v>57</v>
      </c>
      <c r="C360">
        <v>32</v>
      </c>
      <c r="D360">
        <v>16</v>
      </c>
      <c r="E360">
        <v>50</v>
      </c>
      <c r="F360" t="b">
        <v>1</v>
      </c>
      <c r="G360">
        <v>1</v>
      </c>
      <c r="H360" t="s">
        <v>185</v>
      </c>
    </row>
    <row r="361" spans="1:8" x14ac:dyDescent="0.3">
      <c r="A361" t="s">
        <v>133</v>
      </c>
      <c r="B361" t="s">
        <v>42</v>
      </c>
      <c r="C361">
        <v>40</v>
      </c>
      <c r="D361">
        <v>25</v>
      </c>
      <c r="E361">
        <v>62.5</v>
      </c>
      <c r="F361" t="b">
        <v>1</v>
      </c>
      <c r="G361">
        <v>1</v>
      </c>
      <c r="H361" t="s">
        <v>185</v>
      </c>
    </row>
    <row r="362" spans="1:8" x14ac:dyDescent="0.3">
      <c r="A362" t="s">
        <v>133</v>
      </c>
      <c r="B362" t="s">
        <v>45</v>
      </c>
      <c r="C362">
        <v>28</v>
      </c>
      <c r="D362">
        <v>15</v>
      </c>
      <c r="E362">
        <v>53.571428571428569</v>
      </c>
      <c r="F362" t="b">
        <v>1</v>
      </c>
      <c r="G362">
        <v>1</v>
      </c>
      <c r="H362" t="s">
        <v>185</v>
      </c>
    </row>
    <row r="363" spans="1:8" x14ac:dyDescent="0.3">
      <c r="A363" t="s">
        <v>134</v>
      </c>
      <c r="B363" t="s">
        <v>27</v>
      </c>
      <c r="C363">
        <v>37</v>
      </c>
      <c r="D363">
        <v>20</v>
      </c>
      <c r="E363">
        <v>54.054054054054063</v>
      </c>
      <c r="F363" t="b">
        <v>1</v>
      </c>
      <c r="G363">
        <v>1</v>
      </c>
      <c r="H363" t="s">
        <v>185</v>
      </c>
    </row>
    <row r="364" spans="1:8" x14ac:dyDescent="0.3">
      <c r="A364" t="s">
        <v>134</v>
      </c>
      <c r="B364" t="s">
        <v>51</v>
      </c>
      <c r="C364">
        <v>37</v>
      </c>
      <c r="D364">
        <v>24</v>
      </c>
      <c r="E364">
        <v>64.86486486486487</v>
      </c>
      <c r="F364" t="b">
        <v>1</v>
      </c>
      <c r="G364">
        <v>1</v>
      </c>
      <c r="H364" t="s">
        <v>185</v>
      </c>
    </row>
    <row r="365" spans="1:8" x14ac:dyDescent="0.3">
      <c r="A365" t="s">
        <v>134</v>
      </c>
      <c r="B365" t="s">
        <v>40</v>
      </c>
      <c r="C365">
        <v>32</v>
      </c>
      <c r="D365">
        <v>23</v>
      </c>
      <c r="E365">
        <v>71.875</v>
      </c>
      <c r="F365" t="b">
        <v>1</v>
      </c>
      <c r="G365">
        <v>1</v>
      </c>
      <c r="H365" t="s">
        <v>185</v>
      </c>
    </row>
    <row r="366" spans="1:8" x14ac:dyDescent="0.3">
      <c r="A366" t="s">
        <v>134</v>
      </c>
      <c r="B366" t="s">
        <v>42</v>
      </c>
      <c r="C366">
        <v>37</v>
      </c>
      <c r="D366">
        <v>26</v>
      </c>
      <c r="E366">
        <v>70.270270270270274</v>
      </c>
      <c r="F366" t="b">
        <v>1</v>
      </c>
      <c r="G366">
        <v>1</v>
      </c>
      <c r="H366" t="s">
        <v>185</v>
      </c>
    </row>
    <row r="367" spans="1:8" x14ac:dyDescent="0.3">
      <c r="A367" t="s">
        <v>135</v>
      </c>
      <c r="B367" t="s">
        <v>27</v>
      </c>
      <c r="C367">
        <v>37</v>
      </c>
      <c r="D367">
        <v>29</v>
      </c>
      <c r="E367">
        <v>78.378378378378372</v>
      </c>
      <c r="F367" t="b">
        <v>1</v>
      </c>
      <c r="G367">
        <v>0</v>
      </c>
      <c r="H367" t="s">
        <v>186</v>
      </c>
    </row>
    <row r="368" spans="1:8" x14ac:dyDescent="0.3">
      <c r="A368" t="s">
        <v>135</v>
      </c>
      <c r="B368" t="s">
        <v>51</v>
      </c>
      <c r="C368">
        <v>32</v>
      </c>
      <c r="D368">
        <v>16</v>
      </c>
      <c r="E368">
        <v>50</v>
      </c>
      <c r="F368" t="b">
        <v>1</v>
      </c>
      <c r="G368">
        <v>1</v>
      </c>
      <c r="H368" t="s">
        <v>185</v>
      </c>
    </row>
    <row r="369" spans="1:8" x14ac:dyDescent="0.3">
      <c r="A369" t="s">
        <v>135</v>
      </c>
      <c r="B369" t="s">
        <v>34</v>
      </c>
      <c r="C369">
        <v>33</v>
      </c>
      <c r="D369">
        <v>19</v>
      </c>
      <c r="E369">
        <v>57.575757575757578</v>
      </c>
      <c r="F369" t="b">
        <v>1</v>
      </c>
      <c r="G369">
        <v>1</v>
      </c>
      <c r="H369" t="s">
        <v>185</v>
      </c>
    </row>
    <row r="370" spans="1:8" x14ac:dyDescent="0.3">
      <c r="A370" t="s">
        <v>135</v>
      </c>
      <c r="B370" t="s">
        <v>57</v>
      </c>
      <c r="C370">
        <v>28</v>
      </c>
      <c r="D370">
        <v>21</v>
      </c>
      <c r="E370">
        <v>75</v>
      </c>
      <c r="F370" t="b">
        <v>1</v>
      </c>
      <c r="G370">
        <v>0</v>
      </c>
      <c r="H370" t="s">
        <v>186</v>
      </c>
    </row>
    <row r="371" spans="1:8" x14ac:dyDescent="0.3">
      <c r="A371" t="s">
        <v>135</v>
      </c>
      <c r="B371" t="s">
        <v>42</v>
      </c>
      <c r="C371">
        <v>40</v>
      </c>
      <c r="D371">
        <v>21</v>
      </c>
      <c r="E371">
        <v>52.5</v>
      </c>
      <c r="F371" t="b">
        <v>1</v>
      </c>
      <c r="G371">
        <v>1</v>
      </c>
      <c r="H371" t="s">
        <v>185</v>
      </c>
    </row>
    <row r="372" spans="1:8" x14ac:dyDescent="0.3">
      <c r="A372" t="s">
        <v>135</v>
      </c>
      <c r="B372" t="s">
        <v>45</v>
      </c>
      <c r="C372">
        <v>36</v>
      </c>
      <c r="D372">
        <v>19</v>
      </c>
      <c r="E372">
        <v>52.777777777777779</v>
      </c>
      <c r="F372" t="b">
        <v>1</v>
      </c>
      <c r="G372">
        <v>1</v>
      </c>
      <c r="H372" t="s">
        <v>185</v>
      </c>
    </row>
    <row r="373" spans="1:8" x14ac:dyDescent="0.3">
      <c r="A373" t="s">
        <v>136</v>
      </c>
      <c r="B373" t="s">
        <v>27</v>
      </c>
      <c r="C373">
        <v>39</v>
      </c>
      <c r="D373">
        <v>25</v>
      </c>
      <c r="E373">
        <v>64.102564102564102</v>
      </c>
      <c r="F373" t="b">
        <v>1</v>
      </c>
      <c r="G373">
        <v>1</v>
      </c>
      <c r="H373" t="s">
        <v>185</v>
      </c>
    </row>
    <row r="374" spans="1:8" x14ac:dyDescent="0.3">
      <c r="A374" t="s">
        <v>136</v>
      </c>
      <c r="B374" t="s">
        <v>34</v>
      </c>
      <c r="C374">
        <v>39</v>
      </c>
      <c r="D374">
        <v>24</v>
      </c>
      <c r="E374">
        <v>61.53846153846154</v>
      </c>
      <c r="F374" t="b">
        <v>1</v>
      </c>
      <c r="G374">
        <v>1</v>
      </c>
      <c r="H374" t="s">
        <v>185</v>
      </c>
    </row>
    <row r="375" spans="1:8" x14ac:dyDescent="0.3">
      <c r="A375" t="s">
        <v>136</v>
      </c>
      <c r="B375" t="s">
        <v>38</v>
      </c>
      <c r="C375">
        <v>31</v>
      </c>
      <c r="D375">
        <v>15</v>
      </c>
      <c r="E375">
        <v>48.387096774193552</v>
      </c>
      <c r="F375" t="b">
        <v>1</v>
      </c>
      <c r="G375">
        <v>1</v>
      </c>
      <c r="H375" t="s">
        <v>185</v>
      </c>
    </row>
    <row r="376" spans="1:8" x14ac:dyDescent="0.3">
      <c r="A376" t="s">
        <v>136</v>
      </c>
      <c r="B376" t="s">
        <v>40</v>
      </c>
      <c r="C376">
        <v>27</v>
      </c>
      <c r="D376">
        <v>22</v>
      </c>
      <c r="E376">
        <v>81.481481481481481</v>
      </c>
      <c r="F376" t="b">
        <v>1</v>
      </c>
      <c r="G376">
        <v>0</v>
      </c>
      <c r="H376" t="s">
        <v>186</v>
      </c>
    </row>
    <row r="377" spans="1:8" x14ac:dyDescent="0.3">
      <c r="A377" t="s">
        <v>136</v>
      </c>
      <c r="B377" t="s">
        <v>57</v>
      </c>
      <c r="C377">
        <v>33</v>
      </c>
      <c r="D377">
        <v>20</v>
      </c>
      <c r="E377">
        <v>60.606060606060609</v>
      </c>
      <c r="F377" t="b">
        <v>1</v>
      </c>
      <c r="G377">
        <v>1</v>
      </c>
      <c r="H377" t="s">
        <v>185</v>
      </c>
    </row>
    <row r="378" spans="1:8" x14ac:dyDescent="0.3">
      <c r="A378" t="s">
        <v>136</v>
      </c>
      <c r="B378" t="s">
        <v>45</v>
      </c>
      <c r="C378">
        <v>33</v>
      </c>
      <c r="D378">
        <v>21</v>
      </c>
      <c r="E378">
        <v>63.636363636363633</v>
      </c>
      <c r="F378" t="b">
        <v>1</v>
      </c>
      <c r="G378">
        <v>1</v>
      </c>
      <c r="H378" t="s">
        <v>185</v>
      </c>
    </row>
    <row r="379" spans="1:8" x14ac:dyDescent="0.3">
      <c r="A379" t="s">
        <v>137</v>
      </c>
      <c r="B379" t="s">
        <v>27</v>
      </c>
      <c r="C379">
        <v>32</v>
      </c>
      <c r="D379">
        <v>21</v>
      </c>
      <c r="E379">
        <v>65.625</v>
      </c>
      <c r="F379" t="b">
        <v>1</v>
      </c>
      <c r="G379">
        <v>1</v>
      </c>
      <c r="H379" t="s">
        <v>185</v>
      </c>
    </row>
    <row r="380" spans="1:8" x14ac:dyDescent="0.3">
      <c r="A380" t="s">
        <v>137</v>
      </c>
      <c r="B380" t="s">
        <v>34</v>
      </c>
      <c r="C380">
        <v>40</v>
      </c>
      <c r="D380">
        <v>29</v>
      </c>
      <c r="E380">
        <v>72.5</v>
      </c>
      <c r="F380" t="b">
        <v>1</v>
      </c>
      <c r="G380">
        <v>1</v>
      </c>
      <c r="H380" t="s">
        <v>185</v>
      </c>
    </row>
    <row r="381" spans="1:8" x14ac:dyDescent="0.3">
      <c r="A381" t="s">
        <v>137</v>
      </c>
      <c r="B381" t="s">
        <v>40</v>
      </c>
      <c r="C381">
        <v>29</v>
      </c>
      <c r="D381">
        <v>16</v>
      </c>
      <c r="E381">
        <v>55.172413793103438</v>
      </c>
      <c r="F381" t="b">
        <v>1</v>
      </c>
      <c r="G381">
        <v>1</v>
      </c>
      <c r="H381" t="s">
        <v>185</v>
      </c>
    </row>
    <row r="382" spans="1:8" x14ac:dyDescent="0.3">
      <c r="A382" t="s">
        <v>137</v>
      </c>
      <c r="B382" t="s">
        <v>57</v>
      </c>
      <c r="C382">
        <v>28</v>
      </c>
      <c r="D382">
        <v>18</v>
      </c>
      <c r="E382">
        <v>64.285714285714292</v>
      </c>
      <c r="F382" t="b">
        <v>1</v>
      </c>
      <c r="G382">
        <v>1</v>
      </c>
      <c r="H382" t="s">
        <v>185</v>
      </c>
    </row>
    <row r="383" spans="1:8" x14ac:dyDescent="0.3">
      <c r="A383" t="s">
        <v>137</v>
      </c>
      <c r="B383" t="s">
        <v>42</v>
      </c>
      <c r="C383">
        <v>26</v>
      </c>
      <c r="D383">
        <v>15</v>
      </c>
      <c r="E383">
        <v>57.692307692307693</v>
      </c>
      <c r="F383" t="b">
        <v>1</v>
      </c>
      <c r="G383">
        <v>1</v>
      </c>
      <c r="H383" t="s">
        <v>185</v>
      </c>
    </row>
    <row r="384" spans="1:8" x14ac:dyDescent="0.3">
      <c r="A384" t="s">
        <v>137</v>
      </c>
      <c r="B384" t="s">
        <v>45</v>
      </c>
      <c r="C384">
        <v>39</v>
      </c>
      <c r="D384">
        <v>25</v>
      </c>
      <c r="E384">
        <v>64.102564102564102</v>
      </c>
      <c r="F384" t="b">
        <v>1</v>
      </c>
      <c r="G384">
        <v>1</v>
      </c>
      <c r="H384" t="s">
        <v>185</v>
      </c>
    </row>
    <row r="385" spans="1:8" x14ac:dyDescent="0.3">
      <c r="A385" t="s">
        <v>138</v>
      </c>
      <c r="B385" t="s">
        <v>51</v>
      </c>
      <c r="C385">
        <v>25</v>
      </c>
      <c r="D385">
        <v>16</v>
      </c>
      <c r="E385">
        <v>64</v>
      </c>
      <c r="F385" t="b">
        <v>1</v>
      </c>
      <c r="G385">
        <v>1</v>
      </c>
      <c r="H385" t="s">
        <v>185</v>
      </c>
    </row>
    <row r="386" spans="1:8" x14ac:dyDescent="0.3">
      <c r="A386" t="s">
        <v>138</v>
      </c>
      <c r="B386" t="s">
        <v>34</v>
      </c>
      <c r="C386">
        <v>38</v>
      </c>
      <c r="D386">
        <v>24</v>
      </c>
      <c r="E386">
        <v>63.157894736842103</v>
      </c>
      <c r="F386" t="b">
        <v>1</v>
      </c>
      <c r="G386">
        <v>1</v>
      </c>
      <c r="H386" t="s">
        <v>185</v>
      </c>
    </row>
    <row r="387" spans="1:8" x14ac:dyDescent="0.3">
      <c r="A387" t="s">
        <v>138</v>
      </c>
      <c r="B387" t="s">
        <v>38</v>
      </c>
      <c r="C387">
        <v>25</v>
      </c>
      <c r="D387">
        <v>7</v>
      </c>
      <c r="E387">
        <v>28</v>
      </c>
      <c r="F387" t="b">
        <v>1</v>
      </c>
      <c r="G387">
        <v>1</v>
      </c>
      <c r="H387" t="s">
        <v>185</v>
      </c>
    </row>
    <row r="388" spans="1:8" x14ac:dyDescent="0.3">
      <c r="A388" t="s">
        <v>138</v>
      </c>
      <c r="B388" t="s">
        <v>57</v>
      </c>
      <c r="C388">
        <v>36</v>
      </c>
      <c r="D388">
        <v>23</v>
      </c>
      <c r="E388">
        <v>63.888888888888893</v>
      </c>
      <c r="F388" t="b">
        <v>1</v>
      </c>
      <c r="G388">
        <v>1</v>
      </c>
      <c r="H388" t="s">
        <v>185</v>
      </c>
    </row>
    <row r="389" spans="1:8" x14ac:dyDescent="0.3">
      <c r="A389" t="s">
        <v>138</v>
      </c>
      <c r="B389" t="s">
        <v>42</v>
      </c>
      <c r="C389">
        <v>31</v>
      </c>
      <c r="D389">
        <v>19</v>
      </c>
      <c r="E389">
        <v>61.29032258064516</v>
      </c>
      <c r="F389" t="b">
        <v>1</v>
      </c>
      <c r="G389">
        <v>1</v>
      </c>
      <c r="H389" t="s">
        <v>185</v>
      </c>
    </row>
    <row r="390" spans="1:8" x14ac:dyDescent="0.3">
      <c r="A390" t="s">
        <v>138</v>
      </c>
      <c r="B390" t="s">
        <v>45</v>
      </c>
      <c r="C390">
        <v>26</v>
      </c>
      <c r="D390">
        <v>14</v>
      </c>
      <c r="E390">
        <v>53.846153846153847</v>
      </c>
      <c r="F390" t="b">
        <v>1</v>
      </c>
      <c r="G390">
        <v>1</v>
      </c>
      <c r="H390" t="s">
        <v>185</v>
      </c>
    </row>
    <row r="391" spans="1:8" x14ac:dyDescent="0.3">
      <c r="A391" t="s">
        <v>139</v>
      </c>
      <c r="B391" t="s">
        <v>27</v>
      </c>
      <c r="C391">
        <v>31</v>
      </c>
      <c r="D391">
        <v>21</v>
      </c>
      <c r="E391">
        <v>67.741935483870961</v>
      </c>
      <c r="F391" t="b">
        <v>1</v>
      </c>
      <c r="G391">
        <v>1</v>
      </c>
      <c r="H391" t="s">
        <v>185</v>
      </c>
    </row>
    <row r="392" spans="1:8" x14ac:dyDescent="0.3">
      <c r="A392" t="s">
        <v>139</v>
      </c>
      <c r="B392" t="s">
        <v>34</v>
      </c>
      <c r="C392">
        <v>33</v>
      </c>
      <c r="D392">
        <v>22</v>
      </c>
      <c r="E392">
        <v>66.666666666666657</v>
      </c>
      <c r="F392" t="b">
        <v>1</v>
      </c>
      <c r="G392">
        <v>1</v>
      </c>
      <c r="H392" t="s">
        <v>185</v>
      </c>
    </row>
    <row r="393" spans="1:8" x14ac:dyDescent="0.3">
      <c r="A393" t="s">
        <v>139</v>
      </c>
      <c r="B393" t="s">
        <v>38</v>
      </c>
      <c r="C393">
        <v>24</v>
      </c>
      <c r="D393">
        <v>11</v>
      </c>
      <c r="E393">
        <v>45.833333333333329</v>
      </c>
      <c r="F393" t="b">
        <v>1</v>
      </c>
      <c r="G393">
        <v>1</v>
      </c>
      <c r="H393" t="s">
        <v>185</v>
      </c>
    </row>
    <row r="394" spans="1:8" x14ac:dyDescent="0.3">
      <c r="A394" t="s">
        <v>139</v>
      </c>
      <c r="B394" t="s">
        <v>42</v>
      </c>
      <c r="C394">
        <v>30</v>
      </c>
      <c r="D394">
        <v>17</v>
      </c>
      <c r="E394">
        <v>56.666666666666657</v>
      </c>
      <c r="F394" t="b">
        <v>1</v>
      </c>
      <c r="G394">
        <v>1</v>
      </c>
      <c r="H394" t="s">
        <v>185</v>
      </c>
    </row>
    <row r="395" spans="1:8" x14ac:dyDescent="0.3">
      <c r="A395" t="s">
        <v>139</v>
      </c>
      <c r="B395" t="s">
        <v>45</v>
      </c>
      <c r="C395">
        <v>40</v>
      </c>
      <c r="D395">
        <v>18</v>
      </c>
      <c r="E395">
        <v>45</v>
      </c>
      <c r="F395" t="b">
        <v>1</v>
      </c>
      <c r="G395">
        <v>1</v>
      </c>
      <c r="H395" t="s">
        <v>185</v>
      </c>
    </row>
    <row r="396" spans="1:8" x14ac:dyDescent="0.3">
      <c r="A396" t="s">
        <v>140</v>
      </c>
      <c r="B396" t="s">
        <v>51</v>
      </c>
      <c r="C396">
        <v>25</v>
      </c>
      <c r="D396">
        <v>14</v>
      </c>
      <c r="E396">
        <v>56.000000000000007</v>
      </c>
      <c r="F396" t="b">
        <v>1</v>
      </c>
      <c r="G396">
        <v>1</v>
      </c>
      <c r="H396" t="s">
        <v>185</v>
      </c>
    </row>
    <row r="397" spans="1:8" x14ac:dyDescent="0.3">
      <c r="A397" t="s">
        <v>140</v>
      </c>
      <c r="B397" t="s">
        <v>34</v>
      </c>
      <c r="C397">
        <v>31</v>
      </c>
      <c r="D397">
        <v>18</v>
      </c>
      <c r="E397">
        <v>58.064516129032263</v>
      </c>
      <c r="F397" t="b">
        <v>1</v>
      </c>
      <c r="G397">
        <v>1</v>
      </c>
      <c r="H397" t="s">
        <v>185</v>
      </c>
    </row>
    <row r="398" spans="1:8" x14ac:dyDescent="0.3">
      <c r="A398" t="s">
        <v>140</v>
      </c>
      <c r="B398" t="s">
        <v>38</v>
      </c>
      <c r="C398">
        <v>26</v>
      </c>
      <c r="D398">
        <v>13</v>
      </c>
      <c r="E398">
        <v>50</v>
      </c>
      <c r="F398" t="b">
        <v>1</v>
      </c>
      <c r="G398">
        <v>1</v>
      </c>
      <c r="H398" t="s">
        <v>185</v>
      </c>
    </row>
    <row r="399" spans="1:8" x14ac:dyDescent="0.3">
      <c r="A399" t="s">
        <v>140</v>
      </c>
      <c r="B399" t="s">
        <v>42</v>
      </c>
      <c r="C399">
        <v>26</v>
      </c>
      <c r="D399">
        <v>15</v>
      </c>
      <c r="E399">
        <v>57.692307692307693</v>
      </c>
      <c r="F399" t="b">
        <v>1</v>
      </c>
      <c r="G399">
        <v>1</v>
      </c>
      <c r="H399" t="s">
        <v>185</v>
      </c>
    </row>
    <row r="400" spans="1:8" x14ac:dyDescent="0.3">
      <c r="A400" t="s">
        <v>141</v>
      </c>
      <c r="B400" t="s">
        <v>34</v>
      </c>
      <c r="C400">
        <v>30</v>
      </c>
      <c r="D400">
        <v>21</v>
      </c>
      <c r="E400">
        <v>70</v>
      </c>
      <c r="F400" t="b">
        <v>1</v>
      </c>
      <c r="G400">
        <v>1</v>
      </c>
      <c r="H400" t="s">
        <v>185</v>
      </c>
    </row>
    <row r="401" spans="1:8" x14ac:dyDescent="0.3">
      <c r="A401" t="s">
        <v>141</v>
      </c>
      <c r="B401" t="s">
        <v>38</v>
      </c>
      <c r="C401">
        <v>36</v>
      </c>
      <c r="D401">
        <v>19</v>
      </c>
      <c r="E401">
        <v>52.777777777777779</v>
      </c>
      <c r="F401" t="b">
        <v>1</v>
      </c>
      <c r="G401">
        <v>1</v>
      </c>
      <c r="H401" t="s">
        <v>185</v>
      </c>
    </row>
    <row r="402" spans="1:8" x14ac:dyDescent="0.3">
      <c r="A402" t="s">
        <v>141</v>
      </c>
      <c r="B402" t="s">
        <v>40</v>
      </c>
      <c r="C402">
        <v>29</v>
      </c>
      <c r="D402">
        <v>16</v>
      </c>
      <c r="E402">
        <v>55.172413793103438</v>
      </c>
      <c r="F402" t="b">
        <v>1</v>
      </c>
      <c r="G402">
        <v>1</v>
      </c>
      <c r="H402" t="s">
        <v>185</v>
      </c>
    </row>
    <row r="403" spans="1:8" x14ac:dyDescent="0.3">
      <c r="A403" t="s">
        <v>141</v>
      </c>
      <c r="B403" t="s">
        <v>57</v>
      </c>
      <c r="C403">
        <v>38</v>
      </c>
      <c r="D403">
        <v>27</v>
      </c>
      <c r="E403">
        <v>71.05263157894737</v>
      </c>
      <c r="F403" t="b">
        <v>1</v>
      </c>
      <c r="G403">
        <v>1</v>
      </c>
      <c r="H403" t="s">
        <v>185</v>
      </c>
    </row>
    <row r="404" spans="1:8" x14ac:dyDescent="0.3">
      <c r="A404" t="s">
        <v>141</v>
      </c>
      <c r="B404" t="s">
        <v>42</v>
      </c>
      <c r="C404">
        <v>37</v>
      </c>
      <c r="D404">
        <v>21</v>
      </c>
      <c r="E404">
        <v>56.756756756756758</v>
      </c>
      <c r="F404" t="b">
        <v>1</v>
      </c>
      <c r="G404">
        <v>1</v>
      </c>
      <c r="H404" t="s">
        <v>185</v>
      </c>
    </row>
    <row r="405" spans="1:8" x14ac:dyDescent="0.3">
      <c r="A405" t="s">
        <v>141</v>
      </c>
      <c r="B405" t="s">
        <v>45</v>
      </c>
      <c r="C405">
        <v>26</v>
      </c>
      <c r="D405">
        <v>19</v>
      </c>
      <c r="E405">
        <v>73.076923076923066</v>
      </c>
      <c r="F405" t="b">
        <v>1</v>
      </c>
      <c r="G405">
        <v>1</v>
      </c>
      <c r="H405" t="s">
        <v>185</v>
      </c>
    </row>
    <row r="406" spans="1:8" x14ac:dyDescent="0.3">
      <c r="A406" t="s">
        <v>142</v>
      </c>
      <c r="B406" t="s">
        <v>27</v>
      </c>
      <c r="C406">
        <v>39</v>
      </c>
      <c r="D406">
        <v>14</v>
      </c>
      <c r="E406">
        <v>35.897435897435898</v>
      </c>
      <c r="F406" t="b">
        <v>1</v>
      </c>
      <c r="G406">
        <v>1</v>
      </c>
      <c r="H406" t="s">
        <v>185</v>
      </c>
    </row>
    <row r="407" spans="1:8" x14ac:dyDescent="0.3">
      <c r="A407" t="s">
        <v>142</v>
      </c>
      <c r="B407" t="s">
        <v>51</v>
      </c>
      <c r="C407">
        <v>31</v>
      </c>
      <c r="D407">
        <v>19</v>
      </c>
      <c r="E407">
        <v>61.29032258064516</v>
      </c>
      <c r="F407" t="b">
        <v>1</v>
      </c>
      <c r="G407">
        <v>1</v>
      </c>
      <c r="H407" t="s">
        <v>185</v>
      </c>
    </row>
    <row r="408" spans="1:8" x14ac:dyDescent="0.3">
      <c r="A408" t="s">
        <v>142</v>
      </c>
      <c r="B408" t="s">
        <v>38</v>
      </c>
      <c r="C408">
        <v>29</v>
      </c>
      <c r="D408">
        <v>18</v>
      </c>
      <c r="E408">
        <v>62.068965517241381</v>
      </c>
      <c r="F408" t="b">
        <v>1</v>
      </c>
      <c r="G408">
        <v>1</v>
      </c>
      <c r="H408" t="s">
        <v>185</v>
      </c>
    </row>
    <row r="409" spans="1:8" x14ac:dyDescent="0.3">
      <c r="A409" t="s">
        <v>142</v>
      </c>
      <c r="B409" t="s">
        <v>40</v>
      </c>
      <c r="C409">
        <v>34</v>
      </c>
      <c r="D409">
        <v>21</v>
      </c>
      <c r="E409">
        <v>61.764705882352942</v>
      </c>
      <c r="F409" t="b">
        <v>1</v>
      </c>
      <c r="G409">
        <v>1</v>
      </c>
      <c r="H409" t="s">
        <v>185</v>
      </c>
    </row>
    <row r="410" spans="1:8" x14ac:dyDescent="0.3">
      <c r="A410" t="s">
        <v>142</v>
      </c>
      <c r="B410" t="s">
        <v>57</v>
      </c>
      <c r="C410">
        <v>33</v>
      </c>
      <c r="D410">
        <v>30</v>
      </c>
      <c r="E410">
        <v>90.909090909090907</v>
      </c>
      <c r="F410" t="b">
        <v>1</v>
      </c>
      <c r="G410">
        <v>0</v>
      </c>
      <c r="H410" t="s">
        <v>186</v>
      </c>
    </row>
    <row r="411" spans="1:8" x14ac:dyDescent="0.3">
      <c r="A411" t="s">
        <v>142</v>
      </c>
      <c r="B411" t="s">
        <v>45</v>
      </c>
      <c r="C411">
        <v>33</v>
      </c>
      <c r="D411">
        <v>17</v>
      </c>
      <c r="E411">
        <v>51.515151515151523</v>
      </c>
      <c r="F411" t="b">
        <v>1</v>
      </c>
      <c r="G411">
        <v>1</v>
      </c>
      <c r="H411" t="s">
        <v>185</v>
      </c>
    </row>
    <row r="412" spans="1:8" x14ac:dyDescent="0.3">
      <c r="A412" t="s">
        <v>143</v>
      </c>
      <c r="B412" t="s">
        <v>27</v>
      </c>
      <c r="C412">
        <v>28</v>
      </c>
      <c r="D412">
        <v>13</v>
      </c>
      <c r="E412">
        <v>46.428571428571431</v>
      </c>
      <c r="F412" t="b">
        <v>1</v>
      </c>
      <c r="G412">
        <v>1</v>
      </c>
      <c r="H412" t="s">
        <v>185</v>
      </c>
    </row>
    <row r="413" spans="1:8" x14ac:dyDescent="0.3">
      <c r="A413" t="s">
        <v>143</v>
      </c>
      <c r="B413" t="s">
        <v>34</v>
      </c>
      <c r="C413">
        <v>39</v>
      </c>
      <c r="D413">
        <v>27</v>
      </c>
      <c r="E413">
        <v>69.230769230769226</v>
      </c>
      <c r="F413" t="b">
        <v>1</v>
      </c>
      <c r="G413">
        <v>1</v>
      </c>
      <c r="H413" t="s">
        <v>185</v>
      </c>
    </row>
    <row r="414" spans="1:8" x14ac:dyDescent="0.3">
      <c r="A414" t="s">
        <v>143</v>
      </c>
      <c r="B414" t="s">
        <v>40</v>
      </c>
      <c r="C414">
        <v>30</v>
      </c>
      <c r="D414">
        <v>15</v>
      </c>
      <c r="E414">
        <v>50</v>
      </c>
      <c r="F414" t="b">
        <v>1</v>
      </c>
      <c r="G414">
        <v>1</v>
      </c>
      <c r="H414" t="s">
        <v>185</v>
      </c>
    </row>
    <row r="415" spans="1:8" x14ac:dyDescent="0.3">
      <c r="A415" t="s">
        <v>143</v>
      </c>
      <c r="B415" t="s">
        <v>57</v>
      </c>
      <c r="C415">
        <v>29</v>
      </c>
      <c r="D415">
        <v>16</v>
      </c>
      <c r="E415">
        <v>55.172413793103438</v>
      </c>
      <c r="F415" t="b">
        <v>1</v>
      </c>
      <c r="G415">
        <v>1</v>
      </c>
      <c r="H415" t="s">
        <v>185</v>
      </c>
    </row>
    <row r="416" spans="1:8" x14ac:dyDescent="0.3">
      <c r="A416" t="s">
        <v>143</v>
      </c>
      <c r="B416" t="s">
        <v>42</v>
      </c>
      <c r="C416">
        <v>37</v>
      </c>
      <c r="D416">
        <v>19</v>
      </c>
      <c r="E416">
        <v>51.351351351351347</v>
      </c>
      <c r="F416" t="b">
        <v>1</v>
      </c>
      <c r="G416">
        <v>1</v>
      </c>
      <c r="H416" t="s">
        <v>185</v>
      </c>
    </row>
    <row r="417" spans="1:8" x14ac:dyDescent="0.3">
      <c r="A417" t="s">
        <v>144</v>
      </c>
      <c r="B417" t="s">
        <v>27</v>
      </c>
      <c r="C417">
        <v>28</v>
      </c>
      <c r="D417">
        <v>13</v>
      </c>
      <c r="E417">
        <v>46.428571428571431</v>
      </c>
      <c r="F417" t="b">
        <v>1</v>
      </c>
      <c r="G417">
        <v>1</v>
      </c>
      <c r="H417" t="s">
        <v>185</v>
      </c>
    </row>
    <row r="418" spans="1:8" x14ac:dyDescent="0.3">
      <c r="A418" t="s">
        <v>144</v>
      </c>
      <c r="B418" t="s">
        <v>51</v>
      </c>
      <c r="C418">
        <v>35</v>
      </c>
      <c r="D418">
        <v>22</v>
      </c>
      <c r="E418">
        <v>62.857142857142847</v>
      </c>
      <c r="F418" t="b">
        <v>1</v>
      </c>
      <c r="G418">
        <v>1</v>
      </c>
      <c r="H418" t="s">
        <v>185</v>
      </c>
    </row>
    <row r="419" spans="1:8" x14ac:dyDescent="0.3">
      <c r="A419" t="s">
        <v>144</v>
      </c>
      <c r="B419" t="s">
        <v>34</v>
      </c>
      <c r="C419">
        <v>38</v>
      </c>
      <c r="D419">
        <v>13</v>
      </c>
      <c r="E419">
        <v>34.210526315789473</v>
      </c>
      <c r="F419" t="b">
        <v>1</v>
      </c>
      <c r="G419">
        <v>1</v>
      </c>
      <c r="H419" t="s">
        <v>185</v>
      </c>
    </row>
    <row r="420" spans="1:8" x14ac:dyDescent="0.3">
      <c r="A420" t="s">
        <v>144</v>
      </c>
      <c r="B420" t="s">
        <v>38</v>
      </c>
      <c r="C420">
        <v>30</v>
      </c>
      <c r="D420">
        <v>19</v>
      </c>
      <c r="E420">
        <v>63.333333333333329</v>
      </c>
      <c r="F420" t="b">
        <v>1</v>
      </c>
      <c r="G420">
        <v>1</v>
      </c>
      <c r="H420" t="s">
        <v>185</v>
      </c>
    </row>
    <row r="421" spans="1:8" x14ac:dyDescent="0.3">
      <c r="A421" t="s">
        <v>144</v>
      </c>
      <c r="B421" t="s">
        <v>42</v>
      </c>
      <c r="C421">
        <v>30</v>
      </c>
      <c r="D421">
        <v>21</v>
      </c>
      <c r="E421">
        <v>70</v>
      </c>
      <c r="F421" t="b">
        <v>1</v>
      </c>
      <c r="G421">
        <v>1</v>
      </c>
      <c r="H421" t="s">
        <v>185</v>
      </c>
    </row>
    <row r="422" spans="1:8" x14ac:dyDescent="0.3">
      <c r="A422" t="s">
        <v>145</v>
      </c>
      <c r="B422" t="s">
        <v>27</v>
      </c>
      <c r="C422">
        <v>40</v>
      </c>
      <c r="D422">
        <v>23</v>
      </c>
      <c r="E422">
        <v>57.499999999999993</v>
      </c>
      <c r="F422" t="b">
        <v>1</v>
      </c>
      <c r="G422">
        <v>1</v>
      </c>
      <c r="H422" t="s">
        <v>185</v>
      </c>
    </row>
    <row r="423" spans="1:8" x14ac:dyDescent="0.3">
      <c r="A423" t="s">
        <v>145</v>
      </c>
      <c r="B423" t="s">
        <v>51</v>
      </c>
      <c r="C423">
        <v>26</v>
      </c>
      <c r="D423">
        <v>24</v>
      </c>
      <c r="E423">
        <v>92.307692307692307</v>
      </c>
      <c r="F423" t="b">
        <v>1</v>
      </c>
      <c r="G423">
        <v>0</v>
      </c>
      <c r="H423" t="s">
        <v>186</v>
      </c>
    </row>
    <row r="424" spans="1:8" x14ac:dyDescent="0.3">
      <c r="A424" t="s">
        <v>145</v>
      </c>
      <c r="B424" t="s">
        <v>34</v>
      </c>
      <c r="C424">
        <v>40</v>
      </c>
      <c r="D424">
        <v>19</v>
      </c>
      <c r="E424">
        <v>47.5</v>
      </c>
      <c r="F424" t="b">
        <v>1</v>
      </c>
      <c r="G424">
        <v>1</v>
      </c>
      <c r="H424" t="s">
        <v>185</v>
      </c>
    </row>
    <row r="425" spans="1:8" x14ac:dyDescent="0.3">
      <c r="A425" t="s">
        <v>145</v>
      </c>
      <c r="B425" t="s">
        <v>57</v>
      </c>
      <c r="C425">
        <v>38</v>
      </c>
      <c r="D425">
        <v>21</v>
      </c>
      <c r="E425">
        <v>55.26315789473685</v>
      </c>
      <c r="F425" t="b">
        <v>1</v>
      </c>
      <c r="G425">
        <v>1</v>
      </c>
      <c r="H425" t="s">
        <v>185</v>
      </c>
    </row>
    <row r="426" spans="1:8" x14ac:dyDescent="0.3">
      <c r="A426" t="s">
        <v>146</v>
      </c>
      <c r="B426" t="s">
        <v>27</v>
      </c>
      <c r="C426">
        <v>39</v>
      </c>
      <c r="D426">
        <v>31</v>
      </c>
      <c r="E426">
        <v>79.487179487179489</v>
      </c>
      <c r="F426" t="b">
        <v>1</v>
      </c>
      <c r="G426">
        <v>0</v>
      </c>
      <c r="H426" t="s">
        <v>186</v>
      </c>
    </row>
    <row r="427" spans="1:8" x14ac:dyDescent="0.3">
      <c r="A427" t="s">
        <v>146</v>
      </c>
      <c r="B427" t="s">
        <v>51</v>
      </c>
      <c r="C427">
        <v>34</v>
      </c>
      <c r="D427">
        <v>19</v>
      </c>
      <c r="E427">
        <v>55.882352941176471</v>
      </c>
      <c r="F427" t="b">
        <v>1</v>
      </c>
      <c r="G427">
        <v>1</v>
      </c>
      <c r="H427" t="s">
        <v>185</v>
      </c>
    </row>
    <row r="428" spans="1:8" x14ac:dyDescent="0.3">
      <c r="A428" t="s">
        <v>146</v>
      </c>
      <c r="B428" t="s">
        <v>38</v>
      </c>
      <c r="C428">
        <v>25</v>
      </c>
      <c r="D428">
        <v>16</v>
      </c>
      <c r="E428">
        <v>64</v>
      </c>
      <c r="F428" t="b">
        <v>1</v>
      </c>
      <c r="G428">
        <v>1</v>
      </c>
      <c r="H428" t="s">
        <v>185</v>
      </c>
    </row>
    <row r="429" spans="1:8" x14ac:dyDescent="0.3">
      <c r="A429" t="s">
        <v>146</v>
      </c>
      <c r="B429" t="s">
        <v>57</v>
      </c>
      <c r="C429">
        <v>26</v>
      </c>
      <c r="D429">
        <v>16</v>
      </c>
      <c r="E429">
        <v>61.53846153846154</v>
      </c>
      <c r="F429" t="b">
        <v>1</v>
      </c>
      <c r="G429">
        <v>1</v>
      </c>
      <c r="H429" t="s">
        <v>185</v>
      </c>
    </row>
    <row r="430" spans="1:8" x14ac:dyDescent="0.3">
      <c r="A430" t="s">
        <v>147</v>
      </c>
      <c r="B430" t="s">
        <v>38</v>
      </c>
      <c r="C430">
        <v>24</v>
      </c>
      <c r="D430">
        <v>18</v>
      </c>
      <c r="E430">
        <v>75</v>
      </c>
      <c r="F430" t="b">
        <v>1</v>
      </c>
      <c r="G430">
        <v>0</v>
      </c>
      <c r="H430" t="s">
        <v>186</v>
      </c>
    </row>
    <row r="431" spans="1:8" x14ac:dyDescent="0.3">
      <c r="A431" t="s">
        <v>147</v>
      </c>
      <c r="B431" t="s">
        <v>40</v>
      </c>
      <c r="C431">
        <v>40</v>
      </c>
      <c r="D431">
        <v>35</v>
      </c>
      <c r="E431">
        <v>87.5</v>
      </c>
      <c r="F431" t="b">
        <v>1</v>
      </c>
      <c r="G431">
        <v>0</v>
      </c>
      <c r="H431" t="s">
        <v>186</v>
      </c>
    </row>
    <row r="432" spans="1:8" x14ac:dyDescent="0.3">
      <c r="A432" t="s">
        <v>147</v>
      </c>
      <c r="B432" t="s">
        <v>57</v>
      </c>
      <c r="C432">
        <v>36</v>
      </c>
      <c r="D432">
        <v>34</v>
      </c>
      <c r="E432">
        <v>94.444444444444443</v>
      </c>
      <c r="F432" t="b">
        <v>1</v>
      </c>
      <c r="G432">
        <v>0</v>
      </c>
      <c r="H432" t="s">
        <v>186</v>
      </c>
    </row>
    <row r="433" spans="1:8" x14ac:dyDescent="0.3">
      <c r="A433" t="s">
        <v>147</v>
      </c>
      <c r="B433" t="s">
        <v>42</v>
      </c>
      <c r="C433">
        <v>40</v>
      </c>
      <c r="D433">
        <v>33</v>
      </c>
      <c r="E433">
        <v>82.5</v>
      </c>
      <c r="F433" t="b">
        <v>1</v>
      </c>
      <c r="G433">
        <v>0</v>
      </c>
      <c r="H433" t="s">
        <v>186</v>
      </c>
    </row>
    <row r="434" spans="1:8" x14ac:dyDescent="0.3">
      <c r="A434" t="s">
        <v>148</v>
      </c>
      <c r="B434" t="s">
        <v>27</v>
      </c>
      <c r="C434">
        <v>35</v>
      </c>
      <c r="D434">
        <v>15</v>
      </c>
      <c r="E434">
        <v>42.857142857142847</v>
      </c>
      <c r="F434" t="b">
        <v>1</v>
      </c>
      <c r="G434">
        <v>1</v>
      </c>
      <c r="H434" t="s">
        <v>185</v>
      </c>
    </row>
    <row r="435" spans="1:8" x14ac:dyDescent="0.3">
      <c r="A435" t="s">
        <v>148</v>
      </c>
      <c r="B435" t="s">
        <v>34</v>
      </c>
      <c r="C435">
        <v>30</v>
      </c>
      <c r="D435">
        <v>18</v>
      </c>
      <c r="E435">
        <v>60</v>
      </c>
      <c r="F435" t="b">
        <v>1</v>
      </c>
      <c r="G435">
        <v>1</v>
      </c>
      <c r="H435" t="s">
        <v>185</v>
      </c>
    </row>
    <row r="436" spans="1:8" x14ac:dyDescent="0.3">
      <c r="A436" t="s">
        <v>148</v>
      </c>
      <c r="B436" t="s">
        <v>38</v>
      </c>
      <c r="C436">
        <v>24</v>
      </c>
      <c r="D436">
        <v>19</v>
      </c>
      <c r="E436">
        <v>79.166666666666657</v>
      </c>
      <c r="F436" t="b">
        <v>1</v>
      </c>
      <c r="G436">
        <v>0</v>
      </c>
      <c r="H436" t="s">
        <v>186</v>
      </c>
    </row>
    <row r="437" spans="1:8" x14ac:dyDescent="0.3">
      <c r="A437" t="s">
        <v>148</v>
      </c>
      <c r="B437" t="s">
        <v>57</v>
      </c>
      <c r="C437">
        <v>24</v>
      </c>
      <c r="D437">
        <v>15</v>
      </c>
      <c r="E437">
        <v>62.5</v>
      </c>
      <c r="F437" t="b">
        <v>1</v>
      </c>
      <c r="G437">
        <v>1</v>
      </c>
      <c r="H437" t="s">
        <v>185</v>
      </c>
    </row>
    <row r="438" spans="1:8" x14ac:dyDescent="0.3">
      <c r="A438" t="s">
        <v>148</v>
      </c>
      <c r="B438" t="s">
        <v>42</v>
      </c>
      <c r="C438">
        <v>32</v>
      </c>
      <c r="D438">
        <v>13</v>
      </c>
      <c r="E438">
        <v>40.625</v>
      </c>
      <c r="F438" t="b">
        <v>1</v>
      </c>
      <c r="G438">
        <v>1</v>
      </c>
      <c r="H438" t="s">
        <v>185</v>
      </c>
    </row>
    <row r="439" spans="1:8" x14ac:dyDescent="0.3">
      <c r="A439" t="s">
        <v>149</v>
      </c>
      <c r="B439" t="s">
        <v>51</v>
      </c>
      <c r="C439">
        <v>25</v>
      </c>
      <c r="D439">
        <v>7</v>
      </c>
      <c r="E439">
        <v>28</v>
      </c>
      <c r="F439" t="b">
        <v>1</v>
      </c>
      <c r="G439">
        <v>1</v>
      </c>
      <c r="H439" t="s">
        <v>185</v>
      </c>
    </row>
    <row r="440" spans="1:8" x14ac:dyDescent="0.3">
      <c r="A440" t="s">
        <v>149</v>
      </c>
      <c r="B440" t="s">
        <v>38</v>
      </c>
      <c r="C440">
        <v>39</v>
      </c>
      <c r="D440">
        <v>29</v>
      </c>
      <c r="E440">
        <v>74.358974358974365</v>
      </c>
      <c r="F440" t="b">
        <v>1</v>
      </c>
      <c r="G440">
        <v>1</v>
      </c>
      <c r="H440" t="s">
        <v>185</v>
      </c>
    </row>
    <row r="441" spans="1:8" x14ac:dyDescent="0.3">
      <c r="A441" t="s">
        <v>149</v>
      </c>
      <c r="B441" t="s">
        <v>57</v>
      </c>
      <c r="C441">
        <v>31</v>
      </c>
      <c r="D441">
        <v>17</v>
      </c>
      <c r="E441">
        <v>54.838709677419352</v>
      </c>
      <c r="F441" t="b">
        <v>1</v>
      </c>
      <c r="G441">
        <v>1</v>
      </c>
      <c r="H441" t="s">
        <v>185</v>
      </c>
    </row>
    <row r="442" spans="1:8" x14ac:dyDescent="0.3">
      <c r="A442" t="s">
        <v>149</v>
      </c>
      <c r="B442" t="s">
        <v>42</v>
      </c>
      <c r="C442">
        <v>34</v>
      </c>
      <c r="D442">
        <v>14</v>
      </c>
      <c r="E442">
        <v>41.17647058823529</v>
      </c>
      <c r="F442" t="b">
        <v>1</v>
      </c>
      <c r="G442">
        <v>1</v>
      </c>
      <c r="H442" t="s">
        <v>185</v>
      </c>
    </row>
    <row r="443" spans="1:8" x14ac:dyDescent="0.3">
      <c r="A443" t="s">
        <v>150</v>
      </c>
      <c r="B443" t="s">
        <v>27</v>
      </c>
      <c r="C443">
        <v>36</v>
      </c>
      <c r="D443">
        <v>16</v>
      </c>
      <c r="E443">
        <v>44.444444444444443</v>
      </c>
      <c r="F443" t="b">
        <v>1</v>
      </c>
      <c r="G443">
        <v>1</v>
      </c>
      <c r="H443" t="s">
        <v>185</v>
      </c>
    </row>
    <row r="444" spans="1:8" x14ac:dyDescent="0.3">
      <c r="A444" t="s">
        <v>150</v>
      </c>
      <c r="B444" t="s">
        <v>51</v>
      </c>
      <c r="C444">
        <v>38</v>
      </c>
      <c r="D444">
        <v>25</v>
      </c>
      <c r="E444">
        <v>65.789473684210535</v>
      </c>
      <c r="F444" t="b">
        <v>1</v>
      </c>
      <c r="G444">
        <v>1</v>
      </c>
      <c r="H444" t="s">
        <v>185</v>
      </c>
    </row>
    <row r="445" spans="1:8" x14ac:dyDescent="0.3">
      <c r="A445" t="s">
        <v>150</v>
      </c>
      <c r="B445" t="s">
        <v>34</v>
      </c>
      <c r="C445">
        <v>34</v>
      </c>
      <c r="D445">
        <v>19</v>
      </c>
      <c r="E445">
        <v>55.882352941176471</v>
      </c>
      <c r="F445" t="b">
        <v>1</v>
      </c>
      <c r="G445">
        <v>1</v>
      </c>
      <c r="H445" t="s">
        <v>185</v>
      </c>
    </row>
    <row r="446" spans="1:8" x14ac:dyDescent="0.3">
      <c r="A446" t="s">
        <v>150</v>
      </c>
      <c r="B446" t="s">
        <v>42</v>
      </c>
      <c r="C446">
        <v>36</v>
      </c>
      <c r="D446">
        <v>16</v>
      </c>
      <c r="E446">
        <v>44.444444444444443</v>
      </c>
      <c r="F446" t="b">
        <v>1</v>
      </c>
      <c r="G446">
        <v>1</v>
      </c>
      <c r="H446" t="s">
        <v>185</v>
      </c>
    </row>
    <row r="447" spans="1:8" x14ac:dyDescent="0.3">
      <c r="A447" t="s">
        <v>150</v>
      </c>
      <c r="B447" t="s">
        <v>45</v>
      </c>
      <c r="C447">
        <v>34</v>
      </c>
      <c r="D447">
        <v>19</v>
      </c>
      <c r="E447">
        <v>55.882352941176471</v>
      </c>
      <c r="F447" t="b">
        <v>1</v>
      </c>
      <c r="G447">
        <v>1</v>
      </c>
      <c r="H447" t="s">
        <v>185</v>
      </c>
    </row>
    <row r="448" spans="1:8" x14ac:dyDescent="0.3">
      <c r="A448" t="s">
        <v>151</v>
      </c>
      <c r="B448" t="s">
        <v>27</v>
      </c>
      <c r="C448">
        <v>25</v>
      </c>
      <c r="D448">
        <v>22</v>
      </c>
      <c r="E448">
        <v>88</v>
      </c>
      <c r="F448" t="b">
        <v>1</v>
      </c>
      <c r="G448">
        <v>0</v>
      </c>
      <c r="H448" t="s">
        <v>186</v>
      </c>
    </row>
    <row r="449" spans="1:8" x14ac:dyDescent="0.3">
      <c r="A449" t="s">
        <v>151</v>
      </c>
      <c r="B449" t="s">
        <v>57</v>
      </c>
      <c r="C449">
        <v>30</v>
      </c>
      <c r="D449">
        <v>21</v>
      </c>
      <c r="E449">
        <v>70</v>
      </c>
      <c r="F449" t="b">
        <v>1</v>
      </c>
      <c r="G449">
        <v>1</v>
      </c>
      <c r="H449" t="s">
        <v>185</v>
      </c>
    </row>
    <row r="450" spans="1:8" x14ac:dyDescent="0.3">
      <c r="A450" t="s">
        <v>151</v>
      </c>
      <c r="B450" t="s">
        <v>42</v>
      </c>
      <c r="C450">
        <v>29</v>
      </c>
      <c r="D450">
        <v>19</v>
      </c>
      <c r="E450">
        <v>65.517241379310349</v>
      </c>
      <c r="F450" t="b">
        <v>1</v>
      </c>
      <c r="G450">
        <v>1</v>
      </c>
      <c r="H450" t="s">
        <v>185</v>
      </c>
    </row>
    <row r="451" spans="1:8" x14ac:dyDescent="0.3">
      <c r="A451" t="s">
        <v>151</v>
      </c>
      <c r="B451" t="s">
        <v>45</v>
      </c>
      <c r="C451">
        <v>30</v>
      </c>
      <c r="D451">
        <v>17</v>
      </c>
      <c r="E451">
        <v>56.666666666666657</v>
      </c>
      <c r="F451" t="b">
        <v>1</v>
      </c>
      <c r="G451">
        <v>1</v>
      </c>
      <c r="H451" t="s">
        <v>185</v>
      </c>
    </row>
    <row r="452" spans="1:8" x14ac:dyDescent="0.3">
      <c r="A452" t="s">
        <v>152</v>
      </c>
      <c r="B452" t="s">
        <v>34</v>
      </c>
      <c r="C452">
        <v>40</v>
      </c>
      <c r="D452">
        <v>21</v>
      </c>
      <c r="E452">
        <v>52.5</v>
      </c>
      <c r="F452" t="b">
        <v>1</v>
      </c>
      <c r="G452">
        <v>1</v>
      </c>
      <c r="H452" t="s">
        <v>185</v>
      </c>
    </row>
    <row r="453" spans="1:8" x14ac:dyDescent="0.3">
      <c r="A453" t="s">
        <v>152</v>
      </c>
      <c r="B453" t="s">
        <v>57</v>
      </c>
      <c r="C453">
        <v>39</v>
      </c>
      <c r="D453">
        <v>29</v>
      </c>
      <c r="E453">
        <v>74.358974358974365</v>
      </c>
      <c r="F453" t="b">
        <v>1</v>
      </c>
      <c r="G453">
        <v>1</v>
      </c>
      <c r="H453" t="s">
        <v>185</v>
      </c>
    </row>
    <row r="454" spans="1:8" x14ac:dyDescent="0.3">
      <c r="A454" t="s">
        <v>152</v>
      </c>
      <c r="B454" t="s">
        <v>42</v>
      </c>
      <c r="C454">
        <v>29</v>
      </c>
      <c r="D454">
        <v>13</v>
      </c>
      <c r="E454">
        <v>44.827586206896562</v>
      </c>
      <c r="F454" t="b">
        <v>1</v>
      </c>
      <c r="G454">
        <v>1</v>
      </c>
      <c r="H454" t="s">
        <v>185</v>
      </c>
    </row>
    <row r="455" spans="1:8" x14ac:dyDescent="0.3">
      <c r="A455" t="s">
        <v>152</v>
      </c>
      <c r="B455" t="s">
        <v>45</v>
      </c>
      <c r="C455">
        <v>33</v>
      </c>
      <c r="D455">
        <v>22</v>
      </c>
      <c r="E455">
        <v>66.666666666666657</v>
      </c>
      <c r="F455" t="b">
        <v>1</v>
      </c>
      <c r="G455">
        <v>1</v>
      </c>
      <c r="H455" t="s">
        <v>185</v>
      </c>
    </row>
    <row r="456" spans="1:8" x14ac:dyDescent="0.3">
      <c r="A456" t="s">
        <v>153</v>
      </c>
      <c r="B456" t="s">
        <v>27</v>
      </c>
      <c r="C456">
        <v>29</v>
      </c>
      <c r="D456">
        <v>20</v>
      </c>
      <c r="E456">
        <v>68.965517241379317</v>
      </c>
      <c r="F456" t="b">
        <v>1</v>
      </c>
      <c r="G456">
        <v>1</v>
      </c>
      <c r="H456" t="s">
        <v>185</v>
      </c>
    </row>
    <row r="457" spans="1:8" x14ac:dyDescent="0.3">
      <c r="A457" t="s">
        <v>153</v>
      </c>
      <c r="B457" t="s">
        <v>38</v>
      </c>
      <c r="C457">
        <v>37</v>
      </c>
      <c r="D457">
        <v>18</v>
      </c>
      <c r="E457">
        <v>48.648648648648653</v>
      </c>
      <c r="F457" t="b">
        <v>1</v>
      </c>
      <c r="G457">
        <v>1</v>
      </c>
      <c r="H457" t="s">
        <v>185</v>
      </c>
    </row>
    <row r="458" spans="1:8" x14ac:dyDescent="0.3">
      <c r="A458" t="s">
        <v>153</v>
      </c>
      <c r="B458" t="s">
        <v>40</v>
      </c>
      <c r="C458">
        <v>34</v>
      </c>
      <c r="D458">
        <v>15</v>
      </c>
      <c r="E458">
        <v>44.117647058823529</v>
      </c>
      <c r="F458" t="b">
        <v>1</v>
      </c>
      <c r="G458">
        <v>1</v>
      </c>
      <c r="H458" t="s">
        <v>185</v>
      </c>
    </row>
    <row r="459" spans="1:8" x14ac:dyDescent="0.3">
      <c r="A459" t="s">
        <v>153</v>
      </c>
      <c r="B459" t="s">
        <v>57</v>
      </c>
      <c r="C459">
        <v>38</v>
      </c>
      <c r="D459">
        <v>20</v>
      </c>
      <c r="E459">
        <v>52.631578947368418</v>
      </c>
      <c r="F459" t="b">
        <v>1</v>
      </c>
      <c r="G459">
        <v>1</v>
      </c>
      <c r="H459" t="s">
        <v>185</v>
      </c>
    </row>
    <row r="460" spans="1:8" x14ac:dyDescent="0.3">
      <c r="A460" t="s">
        <v>153</v>
      </c>
      <c r="B460" t="s">
        <v>45</v>
      </c>
      <c r="C460">
        <v>31</v>
      </c>
      <c r="D460">
        <v>19</v>
      </c>
      <c r="E460">
        <v>61.29032258064516</v>
      </c>
      <c r="F460" t="b">
        <v>1</v>
      </c>
      <c r="G460">
        <v>1</v>
      </c>
      <c r="H460" t="s">
        <v>185</v>
      </c>
    </row>
    <row r="461" spans="1:8" x14ac:dyDescent="0.3">
      <c r="A461" t="s">
        <v>154</v>
      </c>
      <c r="B461" t="s">
        <v>27</v>
      </c>
      <c r="C461">
        <v>24</v>
      </c>
      <c r="D461">
        <v>16</v>
      </c>
      <c r="E461">
        <v>66.666666666666657</v>
      </c>
      <c r="F461" t="b">
        <v>1</v>
      </c>
      <c r="G461">
        <v>1</v>
      </c>
      <c r="H461" t="s">
        <v>185</v>
      </c>
    </row>
    <row r="462" spans="1:8" x14ac:dyDescent="0.3">
      <c r="A462" t="s">
        <v>154</v>
      </c>
      <c r="B462" t="s">
        <v>51</v>
      </c>
      <c r="C462">
        <v>37</v>
      </c>
      <c r="D462">
        <v>19</v>
      </c>
      <c r="E462">
        <v>51.351351351351347</v>
      </c>
      <c r="F462" t="b">
        <v>1</v>
      </c>
      <c r="G462">
        <v>1</v>
      </c>
      <c r="H462" t="s">
        <v>185</v>
      </c>
    </row>
    <row r="463" spans="1:8" x14ac:dyDescent="0.3">
      <c r="A463" t="s">
        <v>154</v>
      </c>
      <c r="B463" t="s">
        <v>34</v>
      </c>
      <c r="C463">
        <v>40</v>
      </c>
      <c r="D463">
        <v>23</v>
      </c>
      <c r="E463">
        <v>57.499999999999993</v>
      </c>
      <c r="F463" t="b">
        <v>1</v>
      </c>
      <c r="G463">
        <v>1</v>
      </c>
      <c r="H463" t="s">
        <v>185</v>
      </c>
    </row>
    <row r="464" spans="1:8" x14ac:dyDescent="0.3">
      <c r="A464" t="s">
        <v>154</v>
      </c>
      <c r="B464" t="s">
        <v>57</v>
      </c>
      <c r="C464">
        <v>31</v>
      </c>
      <c r="D464">
        <v>16</v>
      </c>
      <c r="E464">
        <v>51.612903225806448</v>
      </c>
      <c r="F464" t="b">
        <v>1</v>
      </c>
      <c r="G464">
        <v>1</v>
      </c>
      <c r="H464" t="s">
        <v>185</v>
      </c>
    </row>
    <row r="465" spans="1:8" x14ac:dyDescent="0.3">
      <c r="A465" t="s">
        <v>154</v>
      </c>
      <c r="B465" t="s">
        <v>42</v>
      </c>
      <c r="C465">
        <v>26</v>
      </c>
      <c r="D465">
        <v>22</v>
      </c>
      <c r="E465">
        <v>84.615384615384613</v>
      </c>
      <c r="F465" t="b">
        <v>1</v>
      </c>
      <c r="G465">
        <v>0</v>
      </c>
      <c r="H465" t="s">
        <v>186</v>
      </c>
    </row>
    <row r="466" spans="1:8" x14ac:dyDescent="0.3">
      <c r="A466" t="s">
        <v>155</v>
      </c>
      <c r="B466" t="s">
        <v>27</v>
      </c>
      <c r="C466">
        <v>30</v>
      </c>
      <c r="D466">
        <v>21</v>
      </c>
      <c r="E466">
        <v>70</v>
      </c>
      <c r="F466" t="b">
        <v>1</v>
      </c>
      <c r="G466">
        <v>1</v>
      </c>
      <c r="H466" t="s">
        <v>185</v>
      </c>
    </row>
    <row r="467" spans="1:8" x14ac:dyDescent="0.3">
      <c r="A467" t="s">
        <v>155</v>
      </c>
      <c r="B467" t="s">
        <v>51</v>
      </c>
      <c r="C467">
        <v>34</v>
      </c>
      <c r="D467">
        <v>22</v>
      </c>
      <c r="E467">
        <v>64.705882352941174</v>
      </c>
      <c r="F467" t="b">
        <v>1</v>
      </c>
      <c r="G467">
        <v>1</v>
      </c>
      <c r="H467" t="s">
        <v>185</v>
      </c>
    </row>
    <row r="468" spans="1:8" x14ac:dyDescent="0.3">
      <c r="A468" t="s">
        <v>155</v>
      </c>
      <c r="B468" t="s">
        <v>34</v>
      </c>
      <c r="C468">
        <v>26</v>
      </c>
      <c r="D468">
        <v>23</v>
      </c>
      <c r="E468">
        <v>88.461538461538453</v>
      </c>
      <c r="F468" t="b">
        <v>1</v>
      </c>
      <c r="G468">
        <v>0</v>
      </c>
      <c r="H468" t="s">
        <v>186</v>
      </c>
    </row>
    <row r="469" spans="1:8" x14ac:dyDescent="0.3">
      <c r="A469" t="s">
        <v>155</v>
      </c>
      <c r="B469" t="s">
        <v>40</v>
      </c>
      <c r="C469">
        <v>33</v>
      </c>
      <c r="D469">
        <v>24</v>
      </c>
      <c r="E469">
        <v>72.727272727272734</v>
      </c>
      <c r="F469" t="b">
        <v>1</v>
      </c>
      <c r="G469">
        <v>1</v>
      </c>
      <c r="H469" t="s">
        <v>185</v>
      </c>
    </row>
    <row r="470" spans="1:8" x14ac:dyDescent="0.3">
      <c r="A470" t="s">
        <v>155</v>
      </c>
      <c r="B470" t="s">
        <v>57</v>
      </c>
      <c r="C470">
        <v>36</v>
      </c>
      <c r="D470">
        <v>21</v>
      </c>
      <c r="E470">
        <v>58.333333333333343</v>
      </c>
      <c r="F470" t="b">
        <v>1</v>
      </c>
      <c r="G470">
        <v>1</v>
      </c>
      <c r="H470" t="s">
        <v>185</v>
      </c>
    </row>
    <row r="471" spans="1:8" x14ac:dyDescent="0.3">
      <c r="A471" t="s">
        <v>156</v>
      </c>
      <c r="B471" t="s">
        <v>27</v>
      </c>
      <c r="C471">
        <v>31</v>
      </c>
      <c r="D471">
        <v>20</v>
      </c>
      <c r="E471">
        <v>64.516129032258064</v>
      </c>
      <c r="F471" t="b">
        <v>1</v>
      </c>
      <c r="G471">
        <v>1</v>
      </c>
      <c r="H471" t="s">
        <v>185</v>
      </c>
    </row>
    <row r="472" spans="1:8" x14ac:dyDescent="0.3">
      <c r="A472" t="s">
        <v>156</v>
      </c>
      <c r="B472" t="s">
        <v>51</v>
      </c>
      <c r="C472">
        <v>40</v>
      </c>
      <c r="D472">
        <v>28</v>
      </c>
      <c r="E472">
        <v>70</v>
      </c>
      <c r="F472" t="b">
        <v>1</v>
      </c>
      <c r="G472">
        <v>1</v>
      </c>
      <c r="H472" t="s">
        <v>185</v>
      </c>
    </row>
    <row r="473" spans="1:8" x14ac:dyDescent="0.3">
      <c r="A473" t="s">
        <v>156</v>
      </c>
      <c r="B473" t="s">
        <v>34</v>
      </c>
      <c r="C473">
        <v>27</v>
      </c>
      <c r="D473">
        <v>16</v>
      </c>
      <c r="E473">
        <v>59.259259259259252</v>
      </c>
      <c r="F473" t="b">
        <v>1</v>
      </c>
      <c r="G473">
        <v>1</v>
      </c>
      <c r="H473" t="s">
        <v>185</v>
      </c>
    </row>
    <row r="474" spans="1:8" x14ac:dyDescent="0.3">
      <c r="A474" t="s">
        <v>156</v>
      </c>
      <c r="B474" t="s">
        <v>40</v>
      </c>
      <c r="C474">
        <v>35</v>
      </c>
      <c r="D474">
        <v>21</v>
      </c>
      <c r="E474">
        <v>60</v>
      </c>
      <c r="F474" t="b">
        <v>1</v>
      </c>
      <c r="G474">
        <v>1</v>
      </c>
      <c r="H474" t="s">
        <v>185</v>
      </c>
    </row>
    <row r="475" spans="1:8" x14ac:dyDescent="0.3">
      <c r="A475" t="s">
        <v>156</v>
      </c>
      <c r="B475" t="s">
        <v>57</v>
      </c>
      <c r="C475">
        <v>39</v>
      </c>
      <c r="D475">
        <v>25</v>
      </c>
      <c r="E475">
        <v>64.102564102564102</v>
      </c>
      <c r="F475" t="b">
        <v>1</v>
      </c>
      <c r="G475">
        <v>1</v>
      </c>
      <c r="H475" t="s">
        <v>185</v>
      </c>
    </row>
    <row r="476" spans="1:8" x14ac:dyDescent="0.3">
      <c r="A476" t="s">
        <v>156</v>
      </c>
      <c r="B476" t="s">
        <v>45</v>
      </c>
      <c r="C476">
        <v>38</v>
      </c>
      <c r="D476">
        <v>23</v>
      </c>
      <c r="E476">
        <v>60.526315789473678</v>
      </c>
      <c r="F476" t="b">
        <v>1</v>
      </c>
      <c r="G476">
        <v>1</v>
      </c>
      <c r="H476" t="s">
        <v>185</v>
      </c>
    </row>
    <row r="477" spans="1:8" x14ac:dyDescent="0.3">
      <c r="A477" t="s">
        <v>157</v>
      </c>
      <c r="B477" t="s">
        <v>27</v>
      </c>
      <c r="C477">
        <v>25</v>
      </c>
      <c r="D477">
        <v>17</v>
      </c>
      <c r="E477">
        <v>68</v>
      </c>
      <c r="F477" t="b">
        <v>1</v>
      </c>
      <c r="G477">
        <v>1</v>
      </c>
      <c r="H477" t="s">
        <v>185</v>
      </c>
    </row>
    <row r="478" spans="1:8" x14ac:dyDescent="0.3">
      <c r="A478" t="s">
        <v>157</v>
      </c>
      <c r="B478" t="s">
        <v>51</v>
      </c>
      <c r="C478">
        <v>34</v>
      </c>
      <c r="D478">
        <v>25</v>
      </c>
      <c r="E478">
        <v>73.529411764705884</v>
      </c>
      <c r="F478" t="b">
        <v>1</v>
      </c>
      <c r="G478">
        <v>1</v>
      </c>
      <c r="H478" t="s">
        <v>185</v>
      </c>
    </row>
    <row r="479" spans="1:8" x14ac:dyDescent="0.3">
      <c r="A479" t="s">
        <v>157</v>
      </c>
      <c r="B479" t="s">
        <v>38</v>
      </c>
      <c r="C479">
        <v>34</v>
      </c>
      <c r="D479">
        <v>18</v>
      </c>
      <c r="E479">
        <v>52.941176470588239</v>
      </c>
      <c r="F479" t="b">
        <v>1</v>
      </c>
      <c r="G479">
        <v>1</v>
      </c>
      <c r="H479" t="s">
        <v>185</v>
      </c>
    </row>
    <row r="480" spans="1:8" x14ac:dyDescent="0.3">
      <c r="A480" t="s">
        <v>157</v>
      </c>
      <c r="B480" t="s">
        <v>40</v>
      </c>
      <c r="C480">
        <v>31</v>
      </c>
      <c r="D480">
        <v>19</v>
      </c>
      <c r="E480">
        <v>61.29032258064516</v>
      </c>
      <c r="F480" t="b">
        <v>1</v>
      </c>
      <c r="G480">
        <v>1</v>
      </c>
      <c r="H480" t="s">
        <v>185</v>
      </c>
    </row>
    <row r="481" spans="1:8" x14ac:dyDescent="0.3">
      <c r="A481" t="s">
        <v>157</v>
      </c>
      <c r="B481" t="s">
        <v>42</v>
      </c>
      <c r="C481">
        <v>33</v>
      </c>
      <c r="D481">
        <v>22</v>
      </c>
      <c r="E481">
        <v>66.666666666666657</v>
      </c>
      <c r="F481" t="b">
        <v>1</v>
      </c>
      <c r="G481">
        <v>1</v>
      </c>
      <c r="H481" t="s">
        <v>185</v>
      </c>
    </row>
    <row r="482" spans="1:8" x14ac:dyDescent="0.3">
      <c r="A482" t="s">
        <v>158</v>
      </c>
      <c r="B482" t="s">
        <v>27</v>
      </c>
      <c r="C482">
        <v>39</v>
      </c>
      <c r="D482">
        <v>29</v>
      </c>
      <c r="E482">
        <v>74.358974358974365</v>
      </c>
      <c r="F482" t="b">
        <v>1</v>
      </c>
      <c r="G482">
        <v>1</v>
      </c>
      <c r="H482" t="s">
        <v>185</v>
      </c>
    </row>
    <row r="483" spans="1:8" x14ac:dyDescent="0.3">
      <c r="A483" t="s">
        <v>158</v>
      </c>
      <c r="B483" t="s">
        <v>51</v>
      </c>
      <c r="C483">
        <v>38</v>
      </c>
      <c r="D483">
        <v>30</v>
      </c>
      <c r="E483">
        <v>78.94736842105263</v>
      </c>
      <c r="F483" t="b">
        <v>1</v>
      </c>
      <c r="G483">
        <v>0</v>
      </c>
      <c r="H483" t="s">
        <v>186</v>
      </c>
    </row>
    <row r="484" spans="1:8" x14ac:dyDescent="0.3">
      <c r="A484" t="s">
        <v>158</v>
      </c>
      <c r="B484" t="s">
        <v>38</v>
      </c>
      <c r="C484">
        <v>34</v>
      </c>
      <c r="D484">
        <v>20</v>
      </c>
      <c r="E484">
        <v>58.82352941176471</v>
      </c>
      <c r="F484" t="b">
        <v>1</v>
      </c>
      <c r="G484">
        <v>1</v>
      </c>
      <c r="H484" t="s">
        <v>185</v>
      </c>
    </row>
    <row r="485" spans="1:8" x14ac:dyDescent="0.3">
      <c r="A485" t="s">
        <v>158</v>
      </c>
      <c r="B485" t="s">
        <v>40</v>
      </c>
      <c r="C485">
        <v>25</v>
      </c>
      <c r="D485">
        <v>14</v>
      </c>
      <c r="E485">
        <v>56.000000000000007</v>
      </c>
      <c r="F485" t="b">
        <v>1</v>
      </c>
      <c r="G485">
        <v>1</v>
      </c>
      <c r="H485" t="s">
        <v>185</v>
      </c>
    </row>
    <row r="486" spans="1:8" x14ac:dyDescent="0.3">
      <c r="A486" t="s">
        <v>158</v>
      </c>
      <c r="B486" t="s">
        <v>57</v>
      </c>
      <c r="C486">
        <v>24</v>
      </c>
      <c r="D486">
        <v>19</v>
      </c>
      <c r="E486">
        <v>79.166666666666657</v>
      </c>
      <c r="F486" t="b">
        <v>1</v>
      </c>
      <c r="G486">
        <v>0</v>
      </c>
      <c r="H486" t="s">
        <v>186</v>
      </c>
    </row>
    <row r="487" spans="1:8" x14ac:dyDescent="0.3">
      <c r="A487" t="s">
        <v>159</v>
      </c>
      <c r="B487" t="s">
        <v>27</v>
      </c>
      <c r="C487">
        <v>25</v>
      </c>
      <c r="D487">
        <v>12</v>
      </c>
      <c r="E487">
        <v>48</v>
      </c>
      <c r="F487" t="b">
        <v>1</v>
      </c>
      <c r="G487">
        <v>1</v>
      </c>
      <c r="H487" t="s">
        <v>185</v>
      </c>
    </row>
    <row r="488" spans="1:8" x14ac:dyDescent="0.3">
      <c r="A488" t="s">
        <v>159</v>
      </c>
      <c r="B488" t="s">
        <v>51</v>
      </c>
      <c r="C488">
        <v>30</v>
      </c>
      <c r="D488">
        <v>16</v>
      </c>
      <c r="E488">
        <v>53.333333333333343</v>
      </c>
      <c r="F488" t="b">
        <v>1</v>
      </c>
      <c r="G488">
        <v>1</v>
      </c>
      <c r="H488" t="s">
        <v>185</v>
      </c>
    </row>
    <row r="489" spans="1:8" x14ac:dyDescent="0.3">
      <c r="A489" t="s">
        <v>159</v>
      </c>
      <c r="B489" t="s">
        <v>38</v>
      </c>
      <c r="C489">
        <v>30</v>
      </c>
      <c r="D489">
        <v>18</v>
      </c>
      <c r="E489">
        <v>60</v>
      </c>
      <c r="F489" t="b">
        <v>1</v>
      </c>
      <c r="G489">
        <v>1</v>
      </c>
      <c r="H489" t="s">
        <v>185</v>
      </c>
    </row>
    <row r="490" spans="1:8" x14ac:dyDescent="0.3">
      <c r="A490" t="s">
        <v>159</v>
      </c>
      <c r="B490" t="s">
        <v>40</v>
      </c>
      <c r="C490">
        <v>25</v>
      </c>
      <c r="D490">
        <v>10</v>
      </c>
      <c r="E490">
        <v>40</v>
      </c>
      <c r="F490" t="b">
        <v>1</v>
      </c>
      <c r="G490">
        <v>1</v>
      </c>
      <c r="H490" t="s">
        <v>185</v>
      </c>
    </row>
    <row r="491" spans="1:8" x14ac:dyDescent="0.3">
      <c r="A491" t="s">
        <v>159</v>
      </c>
      <c r="B491" t="s">
        <v>57</v>
      </c>
      <c r="C491">
        <v>35</v>
      </c>
      <c r="D491">
        <v>14</v>
      </c>
      <c r="E491">
        <v>40</v>
      </c>
      <c r="F491" t="b">
        <v>1</v>
      </c>
      <c r="G491">
        <v>1</v>
      </c>
      <c r="H491" t="s">
        <v>185</v>
      </c>
    </row>
    <row r="492" spans="1:8" x14ac:dyDescent="0.3">
      <c r="A492" t="s">
        <v>159</v>
      </c>
      <c r="B492" t="s">
        <v>42</v>
      </c>
      <c r="C492">
        <v>27</v>
      </c>
      <c r="D492">
        <v>17</v>
      </c>
      <c r="E492">
        <v>62.962962962962962</v>
      </c>
      <c r="F492" t="b">
        <v>1</v>
      </c>
      <c r="G492">
        <v>1</v>
      </c>
      <c r="H492" t="s">
        <v>185</v>
      </c>
    </row>
    <row r="493" spans="1:8" x14ac:dyDescent="0.3">
      <c r="A493" t="s">
        <v>160</v>
      </c>
      <c r="B493" t="s">
        <v>34</v>
      </c>
      <c r="C493">
        <v>32</v>
      </c>
      <c r="D493">
        <v>26</v>
      </c>
      <c r="E493">
        <v>81.25</v>
      </c>
      <c r="F493" t="b">
        <v>1</v>
      </c>
      <c r="G493">
        <v>0</v>
      </c>
      <c r="H493" t="s">
        <v>186</v>
      </c>
    </row>
    <row r="494" spans="1:8" x14ac:dyDescent="0.3">
      <c r="A494" t="s">
        <v>160</v>
      </c>
      <c r="B494" t="s">
        <v>40</v>
      </c>
      <c r="C494">
        <v>38</v>
      </c>
      <c r="D494">
        <v>26</v>
      </c>
      <c r="E494">
        <v>68.421052631578945</v>
      </c>
      <c r="F494" t="b">
        <v>1</v>
      </c>
      <c r="G494">
        <v>1</v>
      </c>
      <c r="H494" t="s">
        <v>185</v>
      </c>
    </row>
    <row r="495" spans="1:8" x14ac:dyDescent="0.3">
      <c r="A495" t="s">
        <v>160</v>
      </c>
      <c r="B495" t="s">
        <v>42</v>
      </c>
      <c r="C495">
        <v>32</v>
      </c>
      <c r="D495">
        <v>27</v>
      </c>
      <c r="E495">
        <v>84.375</v>
      </c>
      <c r="F495" t="b">
        <v>1</v>
      </c>
      <c r="G495">
        <v>0</v>
      </c>
      <c r="H495" t="s">
        <v>186</v>
      </c>
    </row>
    <row r="496" spans="1:8" x14ac:dyDescent="0.3">
      <c r="A496" t="s">
        <v>160</v>
      </c>
      <c r="B496" t="s">
        <v>45</v>
      </c>
      <c r="C496">
        <v>40</v>
      </c>
      <c r="D496">
        <v>31</v>
      </c>
      <c r="E496">
        <v>77.5</v>
      </c>
      <c r="F496" t="b">
        <v>1</v>
      </c>
      <c r="G496">
        <v>0</v>
      </c>
      <c r="H496" t="s">
        <v>186</v>
      </c>
    </row>
    <row r="497" spans="1:8" x14ac:dyDescent="0.3">
      <c r="A497" t="s">
        <v>161</v>
      </c>
      <c r="B497" t="s">
        <v>51</v>
      </c>
      <c r="C497">
        <v>40</v>
      </c>
      <c r="D497">
        <v>29</v>
      </c>
      <c r="E497">
        <v>72.5</v>
      </c>
      <c r="F497" t="b">
        <v>1</v>
      </c>
      <c r="G497">
        <v>1</v>
      </c>
      <c r="H497" t="s">
        <v>185</v>
      </c>
    </row>
    <row r="498" spans="1:8" x14ac:dyDescent="0.3">
      <c r="A498" t="s">
        <v>161</v>
      </c>
      <c r="B498" t="s">
        <v>34</v>
      </c>
      <c r="C498">
        <v>30</v>
      </c>
      <c r="D498">
        <v>24</v>
      </c>
      <c r="E498">
        <v>80</v>
      </c>
      <c r="F498" t="b">
        <v>1</v>
      </c>
      <c r="G498">
        <v>0</v>
      </c>
      <c r="H498" t="s">
        <v>186</v>
      </c>
    </row>
    <row r="499" spans="1:8" x14ac:dyDescent="0.3">
      <c r="A499" t="s">
        <v>161</v>
      </c>
      <c r="B499" t="s">
        <v>38</v>
      </c>
      <c r="C499">
        <v>24</v>
      </c>
      <c r="D499">
        <v>16</v>
      </c>
      <c r="E499">
        <v>66.666666666666657</v>
      </c>
      <c r="F499" t="b">
        <v>1</v>
      </c>
      <c r="G499">
        <v>1</v>
      </c>
      <c r="H499" t="s">
        <v>185</v>
      </c>
    </row>
    <row r="500" spans="1:8" x14ac:dyDescent="0.3">
      <c r="A500" t="s">
        <v>161</v>
      </c>
      <c r="B500" t="s">
        <v>42</v>
      </c>
      <c r="C500">
        <v>24</v>
      </c>
      <c r="D500">
        <v>20</v>
      </c>
      <c r="E500">
        <v>83.333333333333343</v>
      </c>
      <c r="F500" t="b">
        <v>1</v>
      </c>
      <c r="G500">
        <v>0</v>
      </c>
      <c r="H500" t="s">
        <v>186</v>
      </c>
    </row>
    <row r="501" spans="1:8" x14ac:dyDescent="0.3">
      <c r="A501" t="s">
        <v>162</v>
      </c>
      <c r="B501" t="s">
        <v>51</v>
      </c>
      <c r="C501">
        <v>38</v>
      </c>
      <c r="D501">
        <v>21</v>
      </c>
      <c r="E501">
        <v>55.26315789473685</v>
      </c>
      <c r="F501" t="b">
        <v>1</v>
      </c>
      <c r="G501">
        <v>1</v>
      </c>
      <c r="H501" t="s">
        <v>185</v>
      </c>
    </row>
    <row r="502" spans="1:8" x14ac:dyDescent="0.3">
      <c r="A502" t="s">
        <v>162</v>
      </c>
      <c r="B502" t="s">
        <v>34</v>
      </c>
      <c r="C502">
        <v>31</v>
      </c>
      <c r="D502">
        <v>17</v>
      </c>
      <c r="E502">
        <v>54.838709677419352</v>
      </c>
      <c r="F502" t="b">
        <v>1</v>
      </c>
      <c r="G502">
        <v>1</v>
      </c>
      <c r="H502" t="s">
        <v>185</v>
      </c>
    </row>
    <row r="503" spans="1:8" x14ac:dyDescent="0.3">
      <c r="A503" t="s">
        <v>162</v>
      </c>
      <c r="B503" t="s">
        <v>38</v>
      </c>
      <c r="C503">
        <v>32</v>
      </c>
      <c r="D503">
        <v>16</v>
      </c>
      <c r="E503">
        <v>50</v>
      </c>
      <c r="F503" t="b">
        <v>1</v>
      </c>
      <c r="G503">
        <v>1</v>
      </c>
      <c r="H503" t="s">
        <v>185</v>
      </c>
    </row>
    <row r="504" spans="1:8" x14ac:dyDescent="0.3">
      <c r="A504" t="s">
        <v>162</v>
      </c>
      <c r="B504" t="s">
        <v>40</v>
      </c>
      <c r="C504">
        <v>26</v>
      </c>
      <c r="D504">
        <v>17</v>
      </c>
      <c r="E504">
        <v>65.384615384615387</v>
      </c>
      <c r="F504" t="b">
        <v>1</v>
      </c>
      <c r="G504">
        <v>1</v>
      </c>
      <c r="H504" t="s">
        <v>185</v>
      </c>
    </row>
    <row r="505" spans="1:8" x14ac:dyDescent="0.3">
      <c r="A505" t="s">
        <v>162</v>
      </c>
      <c r="B505" t="s">
        <v>42</v>
      </c>
      <c r="C505">
        <v>35</v>
      </c>
      <c r="D505">
        <v>26</v>
      </c>
      <c r="E505">
        <v>74.285714285714292</v>
      </c>
      <c r="F505" t="b">
        <v>1</v>
      </c>
      <c r="G505">
        <v>1</v>
      </c>
      <c r="H505" t="s">
        <v>185</v>
      </c>
    </row>
    <row r="506" spans="1:8" x14ac:dyDescent="0.3">
      <c r="A506" t="s">
        <v>162</v>
      </c>
      <c r="B506" t="s">
        <v>45</v>
      </c>
      <c r="C506">
        <v>26</v>
      </c>
      <c r="D506">
        <v>14</v>
      </c>
      <c r="E506">
        <v>53.846153846153847</v>
      </c>
      <c r="F506" t="b">
        <v>1</v>
      </c>
      <c r="G506">
        <v>1</v>
      </c>
      <c r="H506" t="s">
        <v>185</v>
      </c>
    </row>
    <row r="507" spans="1:8" x14ac:dyDescent="0.3">
      <c r="A507" t="s">
        <v>163</v>
      </c>
      <c r="B507" t="s">
        <v>51</v>
      </c>
      <c r="C507">
        <v>34</v>
      </c>
      <c r="D507">
        <v>21</v>
      </c>
      <c r="E507">
        <v>61.764705882352942</v>
      </c>
      <c r="F507" t="b">
        <v>1</v>
      </c>
      <c r="G507">
        <v>1</v>
      </c>
      <c r="H507" t="s">
        <v>185</v>
      </c>
    </row>
    <row r="508" spans="1:8" x14ac:dyDescent="0.3">
      <c r="A508" t="s">
        <v>163</v>
      </c>
      <c r="B508" t="s">
        <v>34</v>
      </c>
      <c r="C508">
        <v>40</v>
      </c>
      <c r="D508">
        <v>28</v>
      </c>
      <c r="E508">
        <v>70</v>
      </c>
      <c r="F508" t="b">
        <v>1</v>
      </c>
      <c r="G508">
        <v>1</v>
      </c>
      <c r="H508" t="s">
        <v>185</v>
      </c>
    </row>
    <row r="509" spans="1:8" x14ac:dyDescent="0.3">
      <c r="A509" t="s">
        <v>163</v>
      </c>
      <c r="B509" t="s">
        <v>38</v>
      </c>
      <c r="C509">
        <v>34</v>
      </c>
      <c r="D509">
        <v>17</v>
      </c>
      <c r="E509">
        <v>50</v>
      </c>
      <c r="F509" t="b">
        <v>1</v>
      </c>
      <c r="G509">
        <v>1</v>
      </c>
      <c r="H509" t="s">
        <v>185</v>
      </c>
    </row>
    <row r="510" spans="1:8" x14ac:dyDescent="0.3">
      <c r="A510" t="s">
        <v>163</v>
      </c>
      <c r="B510" t="s">
        <v>40</v>
      </c>
      <c r="C510">
        <v>25</v>
      </c>
      <c r="D510">
        <v>12</v>
      </c>
      <c r="E510">
        <v>48</v>
      </c>
      <c r="F510" t="b">
        <v>1</v>
      </c>
      <c r="G510">
        <v>1</v>
      </c>
      <c r="H510" t="s">
        <v>185</v>
      </c>
    </row>
    <row r="511" spans="1:8" x14ac:dyDescent="0.3">
      <c r="A511" t="s">
        <v>163</v>
      </c>
      <c r="B511" t="s">
        <v>57</v>
      </c>
      <c r="C511">
        <v>33</v>
      </c>
      <c r="D511">
        <v>18</v>
      </c>
      <c r="E511">
        <v>54.54545454545454</v>
      </c>
      <c r="F511" t="b">
        <v>1</v>
      </c>
      <c r="G511">
        <v>1</v>
      </c>
      <c r="H511" t="s">
        <v>185</v>
      </c>
    </row>
    <row r="512" spans="1:8" x14ac:dyDescent="0.3">
      <c r="A512" t="s">
        <v>163</v>
      </c>
      <c r="B512" t="s">
        <v>42</v>
      </c>
      <c r="C512">
        <v>28</v>
      </c>
      <c r="D512">
        <v>10</v>
      </c>
      <c r="E512">
        <v>35.714285714285722</v>
      </c>
      <c r="F512" t="b">
        <v>1</v>
      </c>
      <c r="G512">
        <v>1</v>
      </c>
      <c r="H512" t="s">
        <v>185</v>
      </c>
    </row>
    <row r="513" spans="1:8" x14ac:dyDescent="0.3">
      <c r="A513" t="s">
        <v>164</v>
      </c>
      <c r="B513" t="s">
        <v>27</v>
      </c>
      <c r="C513">
        <v>32</v>
      </c>
      <c r="D513">
        <v>20</v>
      </c>
      <c r="E513">
        <v>62.5</v>
      </c>
      <c r="F513" t="b">
        <v>1</v>
      </c>
      <c r="G513">
        <v>1</v>
      </c>
      <c r="H513" t="s">
        <v>185</v>
      </c>
    </row>
    <row r="514" spans="1:8" x14ac:dyDescent="0.3">
      <c r="A514" t="s">
        <v>164</v>
      </c>
      <c r="B514" t="s">
        <v>51</v>
      </c>
      <c r="C514">
        <v>34</v>
      </c>
      <c r="D514">
        <v>22</v>
      </c>
      <c r="E514">
        <v>64.705882352941174</v>
      </c>
      <c r="F514" t="b">
        <v>1</v>
      </c>
      <c r="G514">
        <v>1</v>
      </c>
      <c r="H514" t="s">
        <v>185</v>
      </c>
    </row>
    <row r="515" spans="1:8" x14ac:dyDescent="0.3">
      <c r="A515" t="s">
        <v>164</v>
      </c>
      <c r="B515" t="s">
        <v>38</v>
      </c>
      <c r="C515">
        <v>31</v>
      </c>
      <c r="D515">
        <v>14</v>
      </c>
      <c r="E515">
        <v>45.161290322580641</v>
      </c>
      <c r="F515" t="b">
        <v>1</v>
      </c>
      <c r="G515">
        <v>1</v>
      </c>
      <c r="H515" t="s">
        <v>185</v>
      </c>
    </row>
    <row r="516" spans="1:8" x14ac:dyDescent="0.3">
      <c r="A516" t="s">
        <v>164</v>
      </c>
      <c r="B516" t="s">
        <v>40</v>
      </c>
      <c r="C516">
        <v>28</v>
      </c>
      <c r="D516">
        <v>18</v>
      </c>
      <c r="E516">
        <v>64.285714285714292</v>
      </c>
      <c r="F516" t="b">
        <v>1</v>
      </c>
      <c r="G516">
        <v>1</v>
      </c>
      <c r="H516" t="s">
        <v>185</v>
      </c>
    </row>
    <row r="517" spans="1:8" x14ac:dyDescent="0.3">
      <c r="A517" t="s">
        <v>164</v>
      </c>
      <c r="B517" t="s">
        <v>42</v>
      </c>
      <c r="C517">
        <v>30</v>
      </c>
      <c r="D517">
        <v>20</v>
      </c>
      <c r="E517">
        <v>66.666666666666657</v>
      </c>
      <c r="F517" t="b">
        <v>1</v>
      </c>
      <c r="G517">
        <v>1</v>
      </c>
      <c r="H517" t="s">
        <v>185</v>
      </c>
    </row>
    <row r="518" spans="1:8" x14ac:dyDescent="0.3">
      <c r="A518" t="s">
        <v>165</v>
      </c>
      <c r="B518" t="s">
        <v>51</v>
      </c>
      <c r="C518">
        <v>30</v>
      </c>
      <c r="D518">
        <v>22</v>
      </c>
      <c r="E518">
        <v>73.333333333333329</v>
      </c>
      <c r="F518" t="b">
        <v>1</v>
      </c>
      <c r="G518">
        <v>1</v>
      </c>
      <c r="H518" t="s">
        <v>185</v>
      </c>
    </row>
    <row r="519" spans="1:8" x14ac:dyDescent="0.3">
      <c r="A519" t="s">
        <v>165</v>
      </c>
      <c r="B519" t="s">
        <v>57</v>
      </c>
      <c r="C519">
        <v>30</v>
      </c>
      <c r="D519">
        <v>25</v>
      </c>
      <c r="E519">
        <v>83.333333333333343</v>
      </c>
      <c r="F519" t="b">
        <v>1</v>
      </c>
      <c r="G519">
        <v>0</v>
      </c>
      <c r="H519" t="s">
        <v>186</v>
      </c>
    </row>
    <row r="520" spans="1:8" x14ac:dyDescent="0.3">
      <c r="A520" t="s">
        <v>165</v>
      </c>
      <c r="B520" t="s">
        <v>42</v>
      </c>
      <c r="C520">
        <v>40</v>
      </c>
      <c r="D520">
        <v>23</v>
      </c>
      <c r="E520">
        <v>57.499999999999993</v>
      </c>
      <c r="F520" t="b">
        <v>1</v>
      </c>
      <c r="G520">
        <v>1</v>
      </c>
      <c r="H520" t="s">
        <v>185</v>
      </c>
    </row>
    <row r="521" spans="1:8" x14ac:dyDescent="0.3">
      <c r="A521" t="s">
        <v>165</v>
      </c>
      <c r="B521" t="s">
        <v>45</v>
      </c>
      <c r="C521">
        <v>25</v>
      </c>
      <c r="D521">
        <v>20</v>
      </c>
      <c r="E521">
        <v>80</v>
      </c>
      <c r="F521" t="b">
        <v>1</v>
      </c>
      <c r="G521">
        <v>0</v>
      </c>
      <c r="H521" t="s">
        <v>186</v>
      </c>
    </row>
    <row r="522" spans="1:8" x14ac:dyDescent="0.3">
      <c r="A522" t="s">
        <v>166</v>
      </c>
      <c r="B522" t="s">
        <v>27</v>
      </c>
      <c r="C522">
        <v>30</v>
      </c>
      <c r="D522">
        <v>26</v>
      </c>
      <c r="E522">
        <v>86.666666666666671</v>
      </c>
      <c r="F522" t="b">
        <v>1</v>
      </c>
      <c r="G522">
        <v>0</v>
      </c>
      <c r="H522" t="s">
        <v>186</v>
      </c>
    </row>
    <row r="523" spans="1:8" x14ac:dyDescent="0.3">
      <c r="A523" t="s">
        <v>166</v>
      </c>
      <c r="B523" t="s">
        <v>38</v>
      </c>
      <c r="C523">
        <v>28</v>
      </c>
      <c r="D523">
        <v>17</v>
      </c>
      <c r="E523">
        <v>60.714285714285708</v>
      </c>
      <c r="F523" t="b">
        <v>1</v>
      </c>
      <c r="G523">
        <v>1</v>
      </c>
      <c r="H523" t="s">
        <v>185</v>
      </c>
    </row>
    <row r="524" spans="1:8" x14ac:dyDescent="0.3">
      <c r="A524" t="s">
        <v>166</v>
      </c>
      <c r="B524" t="s">
        <v>40</v>
      </c>
      <c r="C524">
        <v>24</v>
      </c>
      <c r="D524">
        <v>21</v>
      </c>
      <c r="E524">
        <v>87.5</v>
      </c>
      <c r="F524" t="b">
        <v>1</v>
      </c>
      <c r="G524">
        <v>0</v>
      </c>
      <c r="H524" t="s">
        <v>186</v>
      </c>
    </row>
    <row r="525" spans="1:8" x14ac:dyDescent="0.3">
      <c r="A525" t="s">
        <v>166</v>
      </c>
      <c r="B525" t="s">
        <v>42</v>
      </c>
      <c r="C525">
        <v>37</v>
      </c>
      <c r="D525">
        <v>23</v>
      </c>
      <c r="E525">
        <v>62.162162162162161</v>
      </c>
      <c r="F525" t="b">
        <v>1</v>
      </c>
      <c r="G525">
        <v>1</v>
      </c>
      <c r="H525" t="s">
        <v>185</v>
      </c>
    </row>
    <row r="526" spans="1:8" x14ac:dyDescent="0.3">
      <c r="A526" t="s">
        <v>167</v>
      </c>
      <c r="B526" t="s">
        <v>27</v>
      </c>
      <c r="C526">
        <v>28</v>
      </c>
      <c r="D526">
        <v>18</v>
      </c>
      <c r="E526">
        <v>64.285714285714292</v>
      </c>
      <c r="F526" t="b">
        <v>1</v>
      </c>
      <c r="G526">
        <v>1</v>
      </c>
      <c r="H526" t="s">
        <v>185</v>
      </c>
    </row>
    <row r="527" spans="1:8" x14ac:dyDescent="0.3">
      <c r="A527" t="s">
        <v>167</v>
      </c>
      <c r="B527" t="s">
        <v>51</v>
      </c>
      <c r="C527">
        <v>32</v>
      </c>
      <c r="D527">
        <v>22</v>
      </c>
      <c r="E527">
        <v>68.75</v>
      </c>
      <c r="F527" t="b">
        <v>1</v>
      </c>
      <c r="G527">
        <v>1</v>
      </c>
      <c r="H527" t="s">
        <v>185</v>
      </c>
    </row>
    <row r="528" spans="1:8" x14ac:dyDescent="0.3">
      <c r="A528" t="s">
        <v>167</v>
      </c>
      <c r="B528" t="s">
        <v>40</v>
      </c>
      <c r="C528">
        <v>34</v>
      </c>
      <c r="D528">
        <v>15</v>
      </c>
      <c r="E528">
        <v>44.117647058823529</v>
      </c>
      <c r="F528" t="b">
        <v>1</v>
      </c>
      <c r="G528">
        <v>1</v>
      </c>
      <c r="H528" t="s">
        <v>185</v>
      </c>
    </row>
    <row r="529" spans="1:8" x14ac:dyDescent="0.3">
      <c r="A529" t="s">
        <v>167</v>
      </c>
      <c r="B529" t="s">
        <v>42</v>
      </c>
      <c r="C529">
        <v>32</v>
      </c>
      <c r="D529">
        <v>26</v>
      </c>
      <c r="E529">
        <v>81.25</v>
      </c>
      <c r="F529" t="b">
        <v>1</v>
      </c>
      <c r="G529">
        <v>0</v>
      </c>
      <c r="H529" t="s">
        <v>186</v>
      </c>
    </row>
    <row r="530" spans="1:8" x14ac:dyDescent="0.3">
      <c r="A530" t="s">
        <v>168</v>
      </c>
      <c r="B530" t="s">
        <v>27</v>
      </c>
      <c r="C530">
        <v>33</v>
      </c>
      <c r="D530">
        <v>18</v>
      </c>
      <c r="E530">
        <v>54.54545454545454</v>
      </c>
      <c r="F530" t="b">
        <v>1</v>
      </c>
      <c r="G530">
        <v>1</v>
      </c>
      <c r="H530" t="s">
        <v>185</v>
      </c>
    </row>
    <row r="531" spans="1:8" x14ac:dyDescent="0.3">
      <c r="A531" t="s">
        <v>168</v>
      </c>
      <c r="B531" t="s">
        <v>34</v>
      </c>
      <c r="C531">
        <v>35</v>
      </c>
      <c r="D531">
        <v>15</v>
      </c>
      <c r="E531">
        <v>42.857142857142847</v>
      </c>
      <c r="F531" t="b">
        <v>1</v>
      </c>
      <c r="G531">
        <v>1</v>
      </c>
      <c r="H531" t="s">
        <v>185</v>
      </c>
    </row>
    <row r="532" spans="1:8" x14ac:dyDescent="0.3">
      <c r="A532" t="s">
        <v>168</v>
      </c>
      <c r="B532" t="s">
        <v>38</v>
      </c>
      <c r="C532">
        <v>28</v>
      </c>
      <c r="D532">
        <v>16</v>
      </c>
      <c r="E532">
        <v>57.142857142857139</v>
      </c>
      <c r="F532" t="b">
        <v>1</v>
      </c>
      <c r="G532">
        <v>1</v>
      </c>
      <c r="H532" t="s">
        <v>185</v>
      </c>
    </row>
    <row r="533" spans="1:8" x14ac:dyDescent="0.3">
      <c r="A533" t="s">
        <v>168</v>
      </c>
      <c r="B533" t="s">
        <v>40</v>
      </c>
      <c r="C533">
        <v>28</v>
      </c>
      <c r="D533">
        <v>18</v>
      </c>
      <c r="E533">
        <v>64.285714285714292</v>
      </c>
      <c r="F533" t="b">
        <v>1</v>
      </c>
      <c r="G533">
        <v>1</v>
      </c>
      <c r="H533" t="s">
        <v>185</v>
      </c>
    </row>
    <row r="534" spans="1:8" x14ac:dyDescent="0.3">
      <c r="A534" t="s">
        <v>168</v>
      </c>
      <c r="B534" t="s">
        <v>57</v>
      </c>
      <c r="C534">
        <v>30</v>
      </c>
      <c r="D534">
        <v>13</v>
      </c>
      <c r="E534">
        <v>43.333333333333343</v>
      </c>
      <c r="F534" t="b">
        <v>1</v>
      </c>
      <c r="G534">
        <v>1</v>
      </c>
      <c r="H534" t="s">
        <v>185</v>
      </c>
    </row>
    <row r="535" spans="1:8" x14ac:dyDescent="0.3">
      <c r="A535" t="s">
        <v>168</v>
      </c>
      <c r="B535" t="s">
        <v>45</v>
      </c>
      <c r="C535">
        <v>27</v>
      </c>
      <c r="D535">
        <v>16</v>
      </c>
      <c r="E535">
        <v>59.259259259259252</v>
      </c>
      <c r="F535" t="b">
        <v>1</v>
      </c>
      <c r="G535">
        <v>1</v>
      </c>
      <c r="H535" t="s">
        <v>185</v>
      </c>
    </row>
    <row r="536" spans="1:8" x14ac:dyDescent="0.3">
      <c r="A536" t="s">
        <v>169</v>
      </c>
      <c r="B536" t="s">
        <v>27</v>
      </c>
      <c r="C536">
        <v>34</v>
      </c>
      <c r="D536">
        <v>16</v>
      </c>
      <c r="E536">
        <v>47.058823529411761</v>
      </c>
      <c r="F536" t="b">
        <v>1</v>
      </c>
      <c r="G536">
        <v>1</v>
      </c>
      <c r="H536" t="s">
        <v>185</v>
      </c>
    </row>
    <row r="537" spans="1:8" x14ac:dyDescent="0.3">
      <c r="A537" t="s">
        <v>169</v>
      </c>
      <c r="B537" t="s">
        <v>51</v>
      </c>
      <c r="C537">
        <v>31</v>
      </c>
      <c r="D537">
        <v>16</v>
      </c>
      <c r="E537">
        <v>51.612903225806448</v>
      </c>
      <c r="F537" t="b">
        <v>1</v>
      </c>
      <c r="G537">
        <v>1</v>
      </c>
      <c r="H537" t="s">
        <v>185</v>
      </c>
    </row>
    <row r="538" spans="1:8" x14ac:dyDescent="0.3">
      <c r="A538" t="s">
        <v>169</v>
      </c>
      <c r="B538" t="s">
        <v>38</v>
      </c>
      <c r="C538">
        <v>28</v>
      </c>
      <c r="D538">
        <v>12</v>
      </c>
      <c r="E538">
        <v>42.857142857142847</v>
      </c>
      <c r="F538" t="b">
        <v>1</v>
      </c>
      <c r="G538">
        <v>1</v>
      </c>
      <c r="H538" t="s">
        <v>185</v>
      </c>
    </row>
    <row r="539" spans="1:8" x14ac:dyDescent="0.3">
      <c r="A539" t="s">
        <v>169</v>
      </c>
      <c r="B539" t="s">
        <v>57</v>
      </c>
      <c r="C539">
        <v>30</v>
      </c>
      <c r="D539">
        <v>13</v>
      </c>
      <c r="E539">
        <v>43.333333333333343</v>
      </c>
      <c r="F539" t="b">
        <v>1</v>
      </c>
      <c r="G539">
        <v>1</v>
      </c>
      <c r="H539" t="s">
        <v>185</v>
      </c>
    </row>
    <row r="540" spans="1:8" x14ac:dyDescent="0.3">
      <c r="A540" t="s">
        <v>169</v>
      </c>
      <c r="B540" t="s">
        <v>45</v>
      </c>
      <c r="C540">
        <v>26</v>
      </c>
      <c r="D540">
        <v>13</v>
      </c>
      <c r="E540">
        <v>50</v>
      </c>
      <c r="F540" t="b">
        <v>1</v>
      </c>
      <c r="G540">
        <v>1</v>
      </c>
      <c r="H540" t="s">
        <v>185</v>
      </c>
    </row>
    <row r="541" spans="1:8" x14ac:dyDescent="0.3">
      <c r="A541" t="s">
        <v>170</v>
      </c>
      <c r="B541" t="s">
        <v>27</v>
      </c>
      <c r="C541">
        <v>30</v>
      </c>
      <c r="D541">
        <v>13</v>
      </c>
      <c r="E541">
        <v>43.333333333333343</v>
      </c>
      <c r="F541" t="b">
        <v>1</v>
      </c>
      <c r="G541">
        <v>1</v>
      </c>
      <c r="H541" t="s">
        <v>185</v>
      </c>
    </row>
    <row r="542" spans="1:8" x14ac:dyDescent="0.3">
      <c r="A542" t="s">
        <v>170</v>
      </c>
      <c r="B542" t="s">
        <v>51</v>
      </c>
      <c r="C542">
        <v>27</v>
      </c>
      <c r="D542">
        <v>16</v>
      </c>
      <c r="E542">
        <v>59.259259259259252</v>
      </c>
      <c r="F542" t="b">
        <v>1</v>
      </c>
      <c r="G542">
        <v>1</v>
      </c>
      <c r="H542" t="s">
        <v>185</v>
      </c>
    </row>
    <row r="543" spans="1:8" x14ac:dyDescent="0.3">
      <c r="A543" t="s">
        <v>170</v>
      </c>
      <c r="B543" t="s">
        <v>40</v>
      </c>
      <c r="C543">
        <v>38</v>
      </c>
      <c r="D543">
        <v>15</v>
      </c>
      <c r="E543">
        <v>39.473684210526322</v>
      </c>
      <c r="F543" t="b">
        <v>1</v>
      </c>
      <c r="G543">
        <v>1</v>
      </c>
      <c r="H543" t="s">
        <v>185</v>
      </c>
    </row>
    <row r="544" spans="1:8" x14ac:dyDescent="0.3">
      <c r="A544" t="s">
        <v>170</v>
      </c>
      <c r="B544" t="s">
        <v>57</v>
      </c>
      <c r="C544">
        <v>39</v>
      </c>
      <c r="D544">
        <v>22</v>
      </c>
      <c r="E544">
        <v>56.410256410256409</v>
      </c>
      <c r="F544" t="b">
        <v>1</v>
      </c>
      <c r="G544">
        <v>1</v>
      </c>
      <c r="H544" t="s">
        <v>185</v>
      </c>
    </row>
    <row r="545" spans="1:8" x14ac:dyDescent="0.3">
      <c r="A545" t="s">
        <v>170</v>
      </c>
      <c r="B545" t="s">
        <v>42</v>
      </c>
      <c r="C545">
        <v>33</v>
      </c>
      <c r="D545">
        <v>24</v>
      </c>
      <c r="E545">
        <v>72.727272727272734</v>
      </c>
      <c r="F545" t="b">
        <v>1</v>
      </c>
      <c r="G545">
        <v>1</v>
      </c>
      <c r="H545" t="s">
        <v>185</v>
      </c>
    </row>
    <row r="546" spans="1:8" x14ac:dyDescent="0.3">
      <c r="A546" t="s">
        <v>170</v>
      </c>
      <c r="B546" t="s">
        <v>45</v>
      </c>
      <c r="C546">
        <v>28</v>
      </c>
      <c r="D546">
        <v>14</v>
      </c>
      <c r="E546">
        <v>50</v>
      </c>
      <c r="F546" t="b">
        <v>1</v>
      </c>
      <c r="G546">
        <v>1</v>
      </c>
      <c r="H546" t="s">
        <v>185</v>
      </c>
    </row>
    <row r="547" spans="1:8" x14ac:dyDescent="0.3">
      <c r="A547" t="s">
        <v>171</v>
      </c>
      <c r="B547" t="s">
        <v>27</v>
      </c>
      <c r="C547">
        <v>40</v>
      </c>
      <c r="D547">
        <v>36</v>
      </c>
      <c r="E547">
        <v>90</v>
      </c>
      <c r="F547" t="b">
        <v>1</v>
      </c>
      <c r="G547">
        <v>0</v>
      </c>
      <c r="H547" t="s">
        <v>186</v>
      </c>
    </row>
    <row r="548" spans="1:8" x14ac:dyDescent="0.3">
      <c r="A548" t="s">
        <v>171</v>
      </c>
      <c r="B548" t="s">
        <v>34</v>
      </c>
      <c r="C548">
        <v>37</v>
      </c>
      <c r="D548">
        <v>19</v>
      </c>
      <c r="E548">
        <v>51.351351351351347</v>
      </c>
      <c r="F548" t="b">
        <v>1</v>
      </c>
      <c r="G548">
        <v>1</v>
      </c>
      <c r="H548" t="s">
        <v>185</v>
      </c>
    </row>
    <row r="549" spans="1:8" x14ac:dyDescent="0.3">
      <c r="A549" t="s">
        <v>171</v>
      </c>
      <c r="B549" t="s">
        <v>38</v>
      </c>
      <c r="C549">
        <v>31</v>
      </c>
      <c r="D549">
        <v>26</v>
      </c>
      <c r="E549">
        <v>83.870967741935488</v>
      </c>
      <c r="F549" t="b">
        <v>1</v>
      </c>
      <c r="G549">
        <v>0</v>
      </c>
      <c r="H549" t="s">
        <v>186</v>
      </c>
    </row>
    <row r="550" spans="1:8" x14ac:dyDescent="0.3">
      <c r="A550" t="s">
        <v>171</v>
      </c>
      <c r="B550" t="s">
        <v>57</v>
      </c>
      <c r="C550">
        <v>24</v>
      </c>
      <c r="D550">
        <v>16</v>
      </c>
      <c r="E550">
        <v>66.666666666666657</v>
      </c>
      <c r="F550" t="b">
        <v>1</v>
      </c>
      <c r="G550">
        <v>1</v>
      </c>
      <c r="H550" t="s">
        <v>185</v>
      </c>
    </row>
    <row r="551" spans="1:8" x14ac:dyDescent="0.3">
      <c r="A551" t="s">
        <v>171</v>
      </c>
      <c r="B551" t="s">
        <v>42</v>
      </c>
      <c r="C551">
        <v>31</v>
      </c>
      <c r="D551">
        <v>15</v>
      </c>
      <c r="E551">
        <v>48.387096774193552</v>
      </c>
      <c r="F551" t="b">
        <v>1</v>
      </c>
      <c r="G551">
        <v>1</v>
      </c>
      <c r="H551" t="s">
        <v>185</v>
      </c>
    </row>
    <row r="552" spans="1:8" x14ac:dyDescent="0.3">
      <c r="A552" t="s">
        <v>172</v>
      </c>
      <c r="B552" t="s">
        <v>51</v>
      </c>
      <c r="C552">
        <v>33</v>
      </c>
      <c r="D552">
        <v>17</v>
      </c>
      <c r="E552">
        <v>51.515151515151523</v>
      </c>
      <c r="F552" t="b">
        <v>1</v>
      </c>
      <c r="G552">
        <v>1</v>
      </c>
      <c r="H552" t="s">
        <v>185</v>
      </c>
    </row>
    <row r="553" spans="1:8" x14ac:dyDescent="0.3">
      <c r="A553" t="s">
        <v>172</v>
      </c>
      <c r="B553" t="s">
        <v>34</v>
      </c>
      <c r="C553">
        <v>38</v>
      </c>
      <c r="D553">
        <v>19</v>
      </c>
      <c r="E553">
        <v>50</v>
      </c>
      <c r="F553" t="b">
        <v>1</v>
      </c>
      <c r="G553">
        <v>1</v>
      </c>
      <c r="H553" t="s">
        <v>185</v>
      </c>
    </row>
    <row r="554" spans="1:8" x14ac:dyDescent="0.3">
      <c r="A554" t="s">
        <v>172</v>
      </c>
      <c r="B554" t="s">
        <v>57</v>
      </c>
      <c r="C554">
        <v>35</v>
      </c>
      <c r="D554">
        <v>20</v>
      </c>
      <c r="E554">
        <v>57.142857142857139</v>
      </c>
      <c r="F554" t="b">
        <v>1</v>
      </c>
      <c r="G554">
        <v>1</v>
      </c>
      <c r="H554" t="s">
        <v>185</v>
      </c>
    </row>
    <row r="555" spans="1:8" x14ac:dyDescent="0.3">
      <c r="A555" t="s">
        <v>172</v>
      </c>
      <c r="B555" t="s">
        <v>45</v>
      </c>
      <c r="C555">
        <v>32</v>
      </c>
      <c r="D555">
        <v>25</v>
      </c>
      <c r="E555">
        <v>78.125</v>
      </c>
      <c r="F555" t="b">
        <v>1</v>
      </c>
      <c r="G555">
        <v>0</v>
      </c>
      <c r="H555" t="s">
        <v>186</v>
      </c>
    </row>
    <row r="556" spans="1:8" x14ac:dyDescent="0.3">
      <c r="A556" t="s">
        <v>173</v>
      </c>
      <c r="B556" t="s">
        <v>27</v>
      </c>
      <c r="C556">
        <v>24</v>
      </c>
      <c r="D556">
        <v>17</v>
      </c>
      <c r="E556">
        <v>70.833333333333343</v>
      </c>
      <c r="F556" t="b">
        <v>1</v>
      </c>
      <c r="G556">
        <v>1</v>
      </c>
      <c r="H556" t="s">
        <v>185</v>
      </c>
    </row>
    <row r="557" spans="1:8" x14ac:dyDescent="0.3">
      <c r="A557" t="s">
        <v>173</v>
      </c>
      <c r="B557" t="s">
        <v>51</v>
      </c>
      <c r="C557">
        <v>26</v>
      </c>
      <c r="D557">
        <v>22</v>
      </c>
      <c r="E557">
        <v>84.615384615384613</v>
      </c>
      <c r="F557" t="b">
        <v>1</v>
      </c>
      <c r="G557">
        <v>0</v>
      </c>
      <c r="H557" t="s">
        <v>186</v>
      </c>
    </row>
    <row r="558" spans="1:8" x14ac:dyDescent="0.3">
      <c r="A558" t="s">
        <v>173</v>
      </c>
      <c r="B558" t="s">
        <v>34</v>
      </c>
      <c r="C558">
        <v>39</v>
      </c>
      <c r="D558">
        <v>23</v>
      </c>
      <c r="E558">
        <v>58.974358974358978</v>
      </c>
      <c r="F558" t="b">
        <v>1</v>
      </c>
      <c r="G558">
        <v>1</v>
      </c>
      <c r="H558" t="s">
        <v>185</v>
      </c>
    </row>
    <row r="559" spans="1:8" x14ac:dyDescent="0.3">
      <c r="A559" t="s">
        <v>173</v>
      </c>
      <c r="B559" t="s">
        <v>38</v>
      </c>
      <c r="C559">
        <v>27</v>
      </c>
      <c r="D559">
        <v>18</v>
      </c>
      <c r="E559">
        <v>66.666666666666657</v>
      </c>
      <c r="F559" t="b">
        <v>1</v>
      </c>
      <c r="G559">
        <v>1</v>
      </c>
      <c r="H559" t="s">
        <v>185</v>
      </c>
    </row>
    <row r="560" spans="1:8" x14ac:dyDescent="0.3">
      <c r="A560" t="s">
        <v>173</v>
      </c>
      <c r="B560" t="s">
        <v>40</v>
      </c>
      <c r="C560">
        <v>38</v>
      </c>
      <c r="D560">
        <v>29</v>
      </c>
      <c r="E560">
        <v>76.31578947368422</v>
      </c>
      <c r="F560" t="b">
        <v>1</v>
      </c>
      <c r="G560">
        <v>0</v>
      </c>
      <c r="H560" t="s">
        <v>186</v>
      </c>
    </row>
    <row r="561" spans="1:8" x14ac:dyDescent="0.3">
      <c r="A561" t="s">
        <v>173</v>
      </c>
      <c r="B561" t="s">
        <v>45</v>
      </c>
      <c r="C561">
        <v>35</v>
      </c>
      <c r="D561">
        <v>21</v>
      </c>
      <c r="E561">
        <v>60</v>
      </c>
      <c r="F561" t="b">
        <v>1</v>
      </c>
      <c r="G561">
        <v>1</v>
      </c>
      <c r="H561" t="s">
        <v>185</v>
      </c>
    </row>
    <row r="562" spans="1:8" x14ac:dyDescent="0.3">
      <c r="A562" t="s">
        <v>174</v>
      </c>
      <c r="B562" t="s">
        <v>51</v>
      </c>
      <c r="C562">
        <v>36</v>
      </c>
      <c r="D562">
        <v>20</v>
      </c>
      <c r="E562">
        <v>55.555555555555557</v>
      </c>
      <c r="F562" t="b">
        <v>1</v>
      </c>
      <c r="G562">
        <v>1</v>
      </c>
      <c r="H562" t="s">
        <v>185</v>
      </c>
    </row>
    <row r="563" spans="1:8" x14ac:dyDescent="0.3">
      <c r="A563" t="s">
        <v>174</v>
      </c>
      <c r="B563" t="s">
        <v>38</v>
      </c>
      <c r="C563">
        <v>30</v>
      </c>
      <c r="D563">
        <v>17</v>
      </c>
      <c r="E563">
        <v>56.666666666666657</v>
      </c>
      <c r="F563" t="b">
        <v>1</v>
      </c>
      <c r="G563">
        <v>1</v>
      </c>
      <c r="H563" t="s">
        <v>185</v>
      </c>
    </row>
    <row r="564" spans="1:8" x14ac:dyDescent="0.3">
      <c r="A564" t="s">
        <v>174</v>
      </c>
      <c r="B564" t="s">
        <v>40</v>
      </c>
      <c r="C564">
        <v>28</v>
      </c>
      <c r="D564">
        <v>19</v>
      </c>
      <c r="E564">
        <v>67.857142857142861</v>
      </c>
      <c r="F564" t="b">
        <v>1</v>
      </c>
      <c r="G564">
        <v>1</v>
      </c>
      <c r="H564" t="s">
        <v>185</v>
      </c>
    </row>
    <row r="565" spans="1:8" x14ac:dyDescent="0.3">
      <c r="A565" t="s">
        <v>174</v>
      </c>
      <c r="B565" t="s">
        <v>57</v>
      </c>
      <c r="C565">
        <v>39</v>
      </c>
      <c r="D565">
        <v>27</v>
      </c>
      <c r="E565">
        <v>69.230769230769226</v>
      </c>
      <c r="F565" t="b">
        <v>1</v>
      </c>
      <c r="G565">
        <v>1</v>
      </c>
      <c r="H565" t="s">
        <v>185</v>
      </c>
    </row>
    <row r="566" spans="1:8" x14ac:dyDescent="0.3">
      <c r="A566" t="s">
        <v>175</v>
      </c>
      <c r="B566" t="s">
        <v>27</v>
      </c>
      <c r="C566">
        <v>26</v>
      </c>
      <c r="D566">
        <v>19</v>
      </c>
      <c r="E566">
        <v>73.076923076923066</v>
      </c>
      <c r="F566" t="b">
        <v>1</v>
      </c>
      <c r="G566">
        <v>1</v>
      </c>
      <c r="H566" t="s">
        <v>185</v>
      </c>
    </row>
    <row r="567" spans="1:8" x14ac:dyDescent="0.3">
      <c r="A567" t="s">
        <v>175</v>
      </c>
      <c r="B567" t="s">
        <v>51</v>
      </c>
      <c r="C567">
        <v>32</v>
      </c>
      <c r="D567">
        <v>29</v>
      </c>
      <c r="E567">
        <v>90.625</v>
      </c>
      <c r="F567" t="b">
        <v>1</v>
      </c>
      <c r="G567">
        <v>0</v>
      </c>
      <c r="H567" t="s">
        <v>186</v>
      </c>
    </row>
    <row r="568" spans="1:8" x14ac:dyDescent="0.3">
      <c r="A568" t="s">
        <v>175</v>
      </c>
      <c r="B568" t="s">
        <v>38</v>
      </c>
      <c r="C568">
        <v>37</v>
      </c>
      <c r="D568">
        <v>23</v>
      </c>
      <c r="E568">
        <v>62.162162162162161</v>
      </c>
      <c r="F568" t="b">
        <v>1</v>
      </c>
      <c r="G568">
        <v>1</v>
      </c>
      <c r="H568" t="s">
        <v>185</v>
      </c>
    </row>
    <row r="569" spans="1:8" x14ac:dyDescent="0.3">
      <c r="A569" t="s">
        <v>175</v>
      </c>
      <c r="B569" t="s">
        <v>57</v>
      </c>
      <c r="C569">
        <v>26</v>
      </c>
      <c r="D569">
        <v>15</v>
      </c>
      <c r="E569">
        <v>57.692307692307693</v>
      </c>
      <c r="F569" t="b">
        <v>1</v>
      </c>
      <c r="G569">
        <v>1</v>
      </c>
      <c r="H569" t="s">
        <v>185</v>
      </c>
    </row>
    <row r="570" spans="1:8" x14ac:dyDescent="0.3">
      <c r="A570" t="s">
        <v>175</v>
      </c>
      <c r="B570" t="s">
        <v>45</v>
      </c>
      <c r="C570">
        <v>29</v>
      </c>
      <c r="D570">
        <v>25</v>
      </c>
      <c r="E570">
        <v>86.206896551724128</v>
      </c>
      <c r="F570" t="b">
        <v>1</v>
      </c>
      <c r="G570">
        <v>0</v>
      </c>
      <c r="H570" t="s">
        <v>186</v>
      </c>
    </row>
    <row r="571" spans="1:8" x14ac:dyDescent="0.3">
      <c r="A571" t="s">
        <v>176</v>
      </c>
      <c r="B571" t="s">
        <v>51</v>
      </c>
      <c r="C571">
        <v>24</v>
      </c>
      <c r="D571">
        <v>9</v>
      </c>
      <c r="E571">
        <v>37.5</v>
      </c>
      <c r="F571" t="b">
        <v>1</v>
      </c>
      <c r="G571">
        <v>1</v>
      </c>
      <c r="H571" t="s">
        <v>185</v>
      </c>
    </row>
    <row r="572" spans="1:8" x14ac:dyDescent="0.3">
      <c r="A572" t="s">
        <v>176</v>
      </c>
      <c r="B572" t="s">
        <v>38</v>
      </c>
      <c r="C572">
        <v>40</v>
      </c>
      <c r="D572">
        <v>24</v>
      </c>
      <c r="E572">
        <v>60</v>
      </c>
      <c r="F572" t="b">
        <v>1</v>
      </c>
      <c r="G572">
        <v>1</v>
      </c>
      <c r="H572" t="s">
        <v>185</v>
      </c>
    </row>
    <row r="573" spans="1:8" x14ac:dyDescent="0.3">
      <c r="A573" t="s">
        <v>176</v>
      </c>
      <c r="B573" t="s">
        <v>40</v>
      </c>
      <c r="C573">
        <v>24</v>
      </c>
      <c r="D573">
        <v>13</v>
      </c>
      <c r="E573">
        <v>54.166666666666657</v>
      </c>
      <c r="F573" t="b">
        <v>1</v>
      </c>
      <c r="G573">
        <v>1</v>
      </c>
      <c r="H573" t="s">
        <v>185</v>
      </c>
    </row>
    <row r="574" spans="1:8" x14ac:dyDescent="0.3">
      <c r="A574" t="s">
        <v>176</v>
      </c>
      <c r="B574" t="s">
        <v>42</v>
      </c>
      <c r="C574">
        <v>24</v>
      </c>
      <c r="D574">
        <v>18</v>
      </c>
      <c r="E574">
        <v>75</v>
      </c>
      <c r="F574" t="b">
        <v>1</v>
      </c>
      <c r="G574">
        <v>0</v>
      </c>
      <c r="H574" t="s">
        <v>186</v>
      </c>
    </row>
    <row r="575" spans="1:8" x14ac:dyDescent="0.3">
      <c r="A575" t="s">
        <v>176</v>
      </c>
      <c r="B575" t="s">
        <v>45</v>
      </c>
      <c r="C575">
        <v>33</v>
      </c>
      <c r="D575">
        <v>26</v>
      </c>
      <c r="E575">
        <v>78.787878787878782</v>
      </c>
      <c r="F575" t="b">
        <v>1</v>
      </c>
      <c r="G575">
        <v>0</v>
      </c>
      <c r="H575" t="s">
        <v>186</v>
      </c>
    </row>
    <row r="576" spans="1:8" x14ac:dyDescent="0.3">
      <c r="A576" t="s">
        <v>177</v>
      </c>
      <c r="B576" t="s">
        <v>27</v>
      </c>
      <c r="C576">
        <v>29</v>
      </c>
      <c r="D576">
        <v>18</v>
      </c>
      <c r="E576">
        <v>62.068965517241381</v>
      </c>
      <c r="F576" t="b">
        <v>1</v>
      </c>
      <c r="G576">
        <v>1</v>
      </c>
      <c r="H576" t="s">
        <v>185</v>
      </c>
    </row>
    <row r="577" spans="1:8" x14ac:dyDescent="0.3">
      <c r="A577" t="s">
        <v>177</v>
      </c>
      <c r="B577" t="s">
        <v>38</v>
      </c>
      <c r="C577">
        <v>33</v>
      </c>
      <c r="D577">
        <v>25</v>
      </c>
      <c r="E577">
        <v>75.757575757575751</v>
      </c>
      <c r="F577" t="b">
        <v>1</v>
      </c>
      <c r="G577">
        <v>0</v>
      </c>
      <c r="H577" t="s">
        <v>186</v>
      </c>
    </row>
    <row r="578" spans="1:8" x14ac:dyDescent="0.3">
      <c r="A578" t="s">
        <v>177</v>
      </c>
      <c r="B578" t="s">
        <v>42</v>
      </c>
      <c r="C578">
        <v>29</v>
      </c>
      <c r="D578">
        <v>12</v>
      </c>
      <c r="E578">
        <v>41.379310344827587</v>
      </c>
      <c r="F578" t="b">
        <v>1</v>
      </c>
      <c r="G578">
        <v>1</v>
      </c>
      <c r="H578" t="s">
        <v>185</v>
      </c>
    </row>
    <row r="579" spans="1:8" x14ac:dyDescent="0.3">
      <c r="A579" t="s">
        <v>177</v>
      </c>
      <c r="B579" t="s">
        <v>45</v>
      </c>
      <c r="C579">
        <v>36</v>
      </c>
      <c r="D579">
        <v>24</v>
      </c>
      <c r="E579">
        <v>66.666666666666657</v>
      </c>
      <c r="F579" t="b">
        <v>1</v>
      </c>
      <c r="G579">
        <v>1</v>
      </c>
      <c r="H579" t="s">
        <v>185</v>
      </c>
    </row>
  </sheetData>
  <autoFilter ref="A1:H579" xr:uid="{00000000-0009-0000-0000-000002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9" customWidth="1"/>
    <col min="3" max="3" width="17" customWidth="1"/>
    <col min="4" max="4" width="16" customWidth="1"/>
    <col min="5" max="5" width="15" customWidth="1"/>
    <col min="6" max="6" width="21" customWidth="1"/>
    <col min="7" max="8" width="10" customWidth="1"/>
  </cols>
  <sheetData>
    <row r="1" spans="1:8" ht="30" customHeight="1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</row>
    <row r="2" spans="1:8" x14ac:dyDescent="0.3">
      <c r="A2" t="s">
        <v>6</v>
      </c>
      <c r="B2">
        <v>562</v>
      </c>
      <c r="C2">
        <v>16</v>
      </c>
      <c r="D2">
        <v>64.239999999999995</v>
      </c>
      <c r="E2">
        <v>64.7</v>
      </c>
      <c r="F2">
        <v>18.86</v>
      </c>
      <c r="G2">
        <v>7.2</v>
      </c>
      <c r="H2">
        <v>100</v>
      </c>
    </row>
    <row r="3" spans="1:8" x14ac:dyDescent="0.3">
      <c r="A3" t="s">
        <v>7</v>
      </c>
      <c r="B3">
        <v>563</v>
      </c>
      <c r="C3">
        <v>15</v>
      </c>
      <c r="D3">
        <v>68.430000000000007</v>
      </c>
      <c r="E3">
        <v>69.2</v>
      </c>
      <c r="F3">
        <v>16.600000000000001</v>
      </c>
      <c r="G3">
        <v>11.1</v>
      </c>
      <c r="H3">
        <v>100</v>
      </c>
    </row>
    <row r="4" spans="1:8" x14ac:dyDescent="0.3">
      <c r="A4" t="s">
        <v>8</v>
      </c>
      <c r="B4">
        <v>562</v>
      </c>
      <c r="C4">
        <v>16</v>
      </c>
      <c r="D4">
        <v>62.13</v>
      </c>
      <c r="E4">
        <v>62.2</v>
      </c>
      <c r="F4">
        <v>19.440000000000001</v>
      </c>
      <c r="G4">
        <v>0.9</v>
      </c>
      <c r="H4">
        <v>100</v>
      </c>
    </row>
    <row r="5" spans="1:8" x14ac:dyDescent="0.3">
      <c r="A5" t="s">
        <v>9</v>
      </c>
      <c r="B5">
        <v>562</v>
      </c>
      <c r="C5">
        <v>16</v>
      </c>
      <c r="D5">
        <v>69.98</v>
      </c>
      <c r="E5">
        <v>69.45</v>
      </c>
      <c r="F5">
        <v>15.9</v>
      </c>
      <c r="G5">
        <v>29.2</v>
      </c>
      <c r="H5">
        <v>100</v>
      </c>
    </row>
  </sheetData>
  <autoFilter ref="A1:H5" xr:uid="{00000000-0009-0000-0000-000003000000}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14" customWidth="1"/>
    <col min="4" max="4" width="11" customWidth="1"/>
  </cols>
  <sheetData>
    <row r="1" spans="1:4" ht="30" customHeight="1" x14ac:dyDescent="0.3">
      <c r="A1" s="1" t="s">
        <v>1</v>
      </c>
      <c r="B1" s="1" t="s">
        <v>14</v>
      </c>
      <c r="C1" s="1" t="s">
        <v>15</v>
      </c>
      <c r="D1" s="1" t="s">
        <v>16</v>
      </c>
    </row>
    <row r="2" spans="1:4" x14ac:dyDescent="0.3">
      <c r="A2" t="s">
        <v>27</v>
      </c>
      <c r="B2">
        <v>17.440000000000001</v>
      </c>
      <c r="C2">
        <v>9.25</v>
      </c>
      <c r="D2">
        <v>50.85</v>
      </c>
    </row>
    <row r="3" spans="1:4" x14ac:dyDescent="0.3">
      <c r="A3" t="s">
        <v>51</v>
      </c>
      <c r="B3">
        <v>17.190000000000001</v>
      </c>
      <c r="C3">
        <v>9</v>
      </c>
      <c r="D3">
        <v>49.96</v>
      </c>
    </row>
    <row r="4" spans="1:4" x14ac:dyDescent="0.3">
      <c r="A4" t="s">
        <v>34</v>
      </c>
      <c r="B4">
        <v>16.18</v>
      </c>
      <c r="C4">
        <v>8.5500000000000007</v>
      </c>
      <c r="D4">
        <v>50.48</v>
      </c>
    </row>
    <row r="5" spans="1:4" x14ac:dyDescent="0.3">
      <c r="A5" t="s">
        <v>38</v>
      </c>
      <c r="B5">
        <v>16.809999999999999</v>
      </c>
      <c r="C5">
        <v>8.5399999999999991</v>
      </c>
      <c r="D5">
        <v>50.44</v>
      </c>
    </row>
    <row r="6" spans="1:4" x14ac:dyDescent="0.3">
      <c r="A6" t="s">
        <v>40</v>
      </c>
      <c r="B6">
        <v>16.579999999999998</v>
      </c>
      <c r="C6">
        <v>8.94</v>
      </c>
      <c r="D6">
        <v>49.48</v>
      </c>
    </row>
    <row r="7" spans="1:4" x14ac:dyDescent="0.3">
      <c r="A7" t="s">
        <v>57</v>
      </c>
      <c r="B7">
        <v>18.11</v>
      </c>
      <c r="C7">
        <v>8.25</v>
      </c>
      <c r="D7">
        <v>53.18</v>
      </c>
    </row>
    <row r="8" spans="1:4" x14ac:dyDescent="0.3">
      <c r="A8" t="s">
        <v>42</v>
      </c>
      <c r="B8">
        <v>17.11</v>
      </c>
      <c r="C8">
        <v>8.67</v>
      </c>
      <c r="D8">
        <v>53.14</v>
      </c>
    </row>
    <row r="9" spans="1:4" x14ac:dyDescent="0.3">
      <c r="A9" t="s">
        <v>45</v>
      </c>
      <c r="B9">
        <v>16.45</v>
      </c>
      <c r="C9">
        <v>8.9499999999999993</v>
      </c>
      <c r="D9">
        <v>48.49</v>
      </c>
    </row>
  </sheetData>
  <autoFilter ref="A1:D9" xr:uid="{00000000-0009-0000-0000-000004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0" customWidth="1"/>
    <col min="3" max="3" width="18" customWidth="1"/>
    <col min="4" max="4" width="16" customWidth="1"/>
    <col min="5" max="5" width="21" customWidth="1"/>
  </cols>
  <sheetData>
    <row r="1" spans="1:5" ht="30" customHeight="1" x14ac:dyDescent="0.3">
      <c r="A1" s="1" t="s">
        <v>25</v>
      </c>
      <c r="B1" s="1" t="s">
        <v>195</v>
      </c>
      <c r="C1" s="1" t="s">
        <v>196</v>
      </c>
      <c r="D1" s="1" t="s">
        <v>190</v>
      </c>
      <c r="E1" s="1" t="s">
        <v>197</v>
      </c>
    </row>
    <row r="2" spans="1:5" x14ac:dyDescent="0.3">
      <c r="A2" t="s">
        <v>33</v>
      </c>
      <c r="B2">
        <v>181</v>
      </c>
      <c r="C2">
        <v>63</v>
      </c>
      <c r="D2">
        <v>49.67</v>
      </c>
      <c r="E2">
        <v>53.41</v>
      </c>
    </row>
    <row r="3" spans="1:5" x14ac:dyDescent="0.3">
      <c r="A3" t="s">
        <v>37</v>
      </c>
      <c r="B3">
        <v>397</v>
      </c>
      <c r="C3">
        <v>105</v>
      </c>
      <c r="D3">
        <v>73.790000000000006</v>
      </c>
      <c r="E3">
        <v>64.959999999999994</v>
      </c>
    </row>
  </sheetData>
  <autoFilter ref="A1:E3" xr:uid="{00000000-0009-0000-0000-000005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Summary_Dashboard</vt:lpstr>
      <vt:lpstr>Course_Pivot</vt:lpstr>
      <vt:lpstr>Attendance_Pivot</vt:lpstr>
      <vt:lpstr>Support_Priority_Pivot</vt:lpstr>
      <vt:lpstr>Submission_Pivot</vt:lpstr>
      <vt:lpstr>Assessment_Pivot</vt:lpstr>
      <vt:lpstr>Performance_Trend</vt:lpstr>
      <vt:lpstr>Cleaned_Data</vt:lpstr>
      <vt:lpstr>Course_Analysis</vt:lpstr>
      <vt:lpstr>Attendance_Analysis</vt:lpstr>
      <vt:lpstr>Assessment_Analysis</vt:lpstr>
      <vt:lpstr>Engagement_Analysis</vt:lpstr>
      <vt:lpstr>Support_Priority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Lavanya Pandian</cp:lastModifiedBy>
  <dcterms:created xsi:type="dcterms:W3CDTF">2026-10-13T06:26:37Z</dcterms:created>
  <dcterms:modified xsi:type="dcterms:W3CDTF">2026-10-13T10:05:56Z</dcterms:modified>
</cp:coreProperties>
</file>